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546ee739a2264a5/Área de Trabalho/Udemy/Curso de tabela dinâmica no Excel - Prático e rápido!/"/>
    </mc:Choice>
  </mc:AlternateContent>
  <xr:revisionPtr revIDLastSave="4" documentId="13_ncr:1_{8AE21970-10E6-4C9C-A8DA-F8C59D3E54BC}" xr6:coauthVersionLast="47" xr6:coauthVersionMax="47" xr10:uidLastSave="{6170A087-006B-4D2C-AB73-389474EC1A97}"/>
  <bookViews>
    <workbookView xWindow="-108" yWindow="-108" windowWidth="23256" windowHeight="12456" activeTab="3" xr2:uid="{030C425E-3875-4D00-9E73-2E88174D378B}"/>
  </bookViews>
  <sheets>
    <sheet name="Lojas" sheetId="2" r:id="rId1"/>
    <sheet name="Vendas" sheetId="1" r:id="rId2"/>
    <sheet name="Tab_Vendas" sheetId="3" r:id="rId3"/>
    <sheet name="Tab_Lojas+Vendas" sheetId="4" r:id="rId4"/>
  </sheets>
  <definedNames>
    <definedName name="_xlcn.WorksheetConnection_Carros_Dados.xlsxLojas1" hidden="1">Lojas[]</definedName>
    <definedName name="_xlcn.WorksheetConnection_Carros_Dados.xlsxVendas1" hidden="1">Vendas[]</definedName>
  </definedNames>
  <calcPr calcId="191029"/>
  <pivotCaches>
    <pivotCache cacheId="0" r:id="rId5"/>
    <pivotCache cacheId="21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endas" name="Vendas" connection="WorksheetConnection_Carros_Dados.xlsx!Vendas"/>
          <x15:modelTable id="Lojas" name="Lojas" connection="WorksheetConnection_Carros_Dados.xlsx!Lojas"/>
        </x15:modelTables>
        <x15:modelRelationships>
          <x15:modelRelationship fromTable="Vendas" fromColumn="Loja" toTable="Lojas" toColumn="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9" i="1" l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M23" i="1"/>
  <c r="M24" i="1"/>
  <c r="M25" i="1"/>
  <c r="M26" i="1"/>
  <c r="M27" i="1"/>
  <c r="M28" i="1"/>
  <c r="L24" i="1"/>
  <c r="L25" i="1"/>
  <c r="L26" i="1"/>
  <c r="L27" i="1"/>
  <c r="L28" i="1"/>
  <c r="L23" i="1"/>
  <c r="L22" i="1"/>
  <c r="M2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5AF6CC-EEC9-4777-BF16-9FC932739DD5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76B4FA-112A-44EB-9EC1-631C7268CE6F}" name="WorksheetConnection_Carros_Dados.xlsx!Lojas" type="102" refreshedVersion="8" minRefreshableVersion="5">
    <extLst>
      <ext xmlns:x15="http://schemas.microsoft.com/office/spreadsheetml/2010/11/main" uri="{DE250136-89BD-433C-8126-D09CA5730AF9}">
        <x15:connection id="Lojas">
          <x15:rangePr sourceName="_xlcn.WorksheetConnection_Carros_Dados.xlsxLojas1"/>
        </x15:connection>
      </ext>
    </extLst>
  </connection>
  <connection id="3" xr16:uid="{8B3348F1-6DA4-4A4B-A6EE-4CF6BC1F5708}" interval="1" name="WorksheetConnection_Carros_Dados.xlsx!Vendas" type="102" refreshedVersion="8" minRefreshableVersion="5" saveData="1">
    <extLst>
      <ext xmlns:x15="http://schemas.microsoft.com/office/spreadsheetml/2010/11/main" uri="{DE250136-89BD-433C-8126-D09CA5730AF9}">
        <x15:connection id="Vendas" autoDelete="1">
          <x15:rangePr sourceName="_xlcn.WorksheetConnection_Carros_Dados.xlsxVendas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Vendas].[Data_Ano].[All]}"/>
    <s v="{[Vendas].[Data_Mês].[All]}"/>
    <s v="{[Vendas].[Data_Dia].[All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<sst xmlns="http://schemas.openxmlformats.org/spreadsheetml/2006/main" count="347" uniqueCount="107">
  <si>
    <t>ID</t>
  </si>
  <si>
    <t>Data</t>
  </si>
  <si>
    <t>Hora</t>
  </si>
  <si>
    <t>Carro</t>
  </si>
  <si>
    <t>Cor</t>
  </si>
  <si>
    <t>Ano</t>
  </si>
  <si>
    <t>Modelo</t>
  </si>
  <si>
    <t>KM</t>
  </si>
  <si>
    <t>Marca</t>
  </si>
  <si>
    <t>Valor</t>
  </si>
  <si>
    <t>Loja</t>
  </si>
  <si>
    <t>Estado</t>
  </si>
  <si>
    <t>Cidade</t>
  </si>
  <si>
    <t>Comissão</t>
  </si>
  <si>
    <t>Gol</t>
  </si>
  <si>
    <t>Branco</t>
  </si>
  <si>
    <t>VW</t>
  </si>
  <si>
    <t>Fox</t>
  </si>
  <si>
    <t>Preto</t>
  </si>
  <si>
    <t>Prisma</t>
  </si>
  <si>
    <t>GM</t>
  </si>
  <si>
    <t>Vermelho</t>
  </si>
  <si>
    <t>Ranger</t>
  </si>
  <si>
    <t>Ford</t>
  </si>
  <si>
    <t>Punto</t>
  </si>
  <si>
    <t>Amarelo</t>
  </si>
  <si>
    <t>Fiat</t>
  </si>
  <si>
    <t>Toro</t>
  </si>
  <si>
    <t>KA</t>
  </si>
  <si>
    <t>Prata</t>
  </si>
  <si>
    <t>Celta</t>
  </si>
  <si>
    <t>Mobi</t>
  </si>
  <si>
    <t>Onix</t>
  </si>
  <si>
    <t>Palio</t>
  </si>
  <si>
    <t>Strada</t>
  </si>
  <si>
    <t>UP</t>
  </si>
  <si>
    <t>Cruze</t>
  </si>
  <si>
    <t>SP</t>
  </si>
  <si>
    <t>Campinas</t>
  </si>
  <si>
    <t>RJ</t>
  </si>
  <si>
    <t>Rio de Janeiro</t>
  </si>
  <si>
    <t>Sumaré</t>
  </si>
  <si>
    <t>MG</t>
  </si>
  <si>
    <t>Belo Horizonte</t>
  </si>
  <si>
    <t>Araraquara</t>
  </si>
  <si>
    <t>Hortolândia</t>
  </si>
  <si>
    <t>AM</t>
  </si>
  <si>
    <t>Manaus</t>
  </si>
  <si>
    <t>PB</t>
  </si>
  <si>
    <t>João Pessoa</t>
  </si>
  <si>
    <t>Nome</t>
  </si>
  <si>
    <t>Porte</t>
  </si>
  <si>
    <t>Grupo</t>
  </si>
  <si>
    <t>ABC Multimarcas</t>
  </si>
  <si>
    <t>Grande</t>
  </si>
  <si>
    <t>ABC Auto</t>
  </si>
  <si>
    <t>MGP Multimarcas</t>
  </si>
  <si>
    <t>Médio</t>
  </si>
  <si>
    <t>MGP Motor</t>
  </si>
  <si>
    <t>TTY Revenda Usados</t>
  </si>
  <si>
    <t>Pequeno</t>
  </si>
  <si>
    <t>TTY Revenda Auto</t>
  </si>
  <si>
    <t>BBV Multimarcas</t>
  </si>
  <si>
    <t>BBV Auto</t>
  </si>
  <si>
    <t>WWU Multimarcas</t>
  </si>
  <si>
    <t>WWU Auto Motor</t>
  </si>
  <si>
    <t>HHF Auto</t>
  </si>
  <si>
    <t>HHF Car</t>
  </si>
  <si>
    <t>Soma de Valor</t>
  </si>
  <si>
    <t>Rótulos de Linha</t>
  </si>
  <si>
    <t>Total Geral</t>
  </si>
  <si>
    <t>Total Vendido</t>
  </si>
  <si>
    <t>Quantidade</t>
  </si>
  <si>
    <t>Faturamento</t>
  </si>
  <si>
    <t>Lucro</t>
  </si>
  <si>
    <t>Uno</t>
  </si>
  <si>
    <t>S10</t>
  </si>
  <si>
    <t>Amarok</t>
  </si>
  <si>
    <t>% Lucro</t>
  </si>
  <si>
    <t>All</t>
  </si>
  <si>
    <t>Data_Ano</t>
  </si>
  <si>
    <t>Data_Mês</t>
  </si>
  <si>
    <t>Data_Dia</t>
  </si>
  <si>
    <t>Jetta</t>
  </si>
  <si>
    <t>Idea</t>
  </si>
  <si>
    <t>Cobalt</t>
  </si>
  <si>
    <t>Spin</t>
  </si>
  <si>
    <t>Up</t>
  </si>
  <si>
    <t>Fiesta</t>
  </si>
  <si>
    <t>Ecosport</t>
  </si>
  <si>
    <t>Focus</t>
  </si>
  <si>
    <t>Fusion</t>
  </si>
  <si>
    <t>Campinas Total</t>
  </si>
  <si>
    <t>Hortolândia Total</t>
  </si>
  <si>
    <t>ABC Multimarcas Total</t>
  </si>
  <si>
    <t>Araraquara Total</t>
  </si>
  <si>
    <t>BBV Multimarcas Total</t>
  </si>
  <si>
    <t>João Pessoa Total</t>
  </si>
  <si>
    <t>HHF Auto Total</t>
  </si>
  <si>
    <t>Rio de Janeiro Total</t>
  </si>
  <si>
    <t>Sumaré Total</t>
  </si>
  <si>
    <t>MGP Multimarcas Total</t>
  </si>
  <si>
    <t>Belo Horizonte Total</t>
  </si>
  <si>
    <t>TTY Revenda Usados Total</t>
  </si>
  <si>
    <t>Manaus Total</t>
  </si>
  <si>
    <t>WWU Multimarcas Total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</si>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</sst>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h:mm;@"/>
    <numFmt numFmtId="166" formatCode="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65" fontId="0" fillId="0" borderId="0" xfId="0" applyNumberFormat="1"/>
    <xf numFmtId="9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0" applyNumberFormat="1"/>
    <xf numFmtId="10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4">
    <dxf>
      <numFmt numFmtId="13" formatCode="0%"/>
    </dxf>
    <dxf>
      <numFmt numFmtId="164" formatCode="_-&quot;R$&quot;* #,##0.00_-;\-&quot;R$&quot;* #,##0.00_-;_-&quot;R$&quot;* &quot;-&quot;??_-;_-@_-"/>
    </dxf>
    <dxf>
      <numFmt numFmtId="165" formatCode="h:mm;@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eetMetadata" Target="metadata.xml"/><Relationship Id="rId24" Type="http://schemas.openxmlformats.org/officeDocument/2006/relationships/customXml" Target="../customXml/item11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6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ábio Silva" refreshedDate="45928.784821875" createdVersion="8" refreshedVersion="8" minRefreshableVersion="3" recordCount="50" xr:uid="{6046D44F-A36F-418F-9FAE-5E21AFF722B6}">
  <cacheSource type="worksheet">
    <worksheetSource name="Vendas"/>
  </cacheSource>
  <cacheFields count="14">
    <cacheField name="ID" numFmtId="0">
      <sharedItems containsSemiMixedTypes="0" containsString="0" containsNumber="1" containsInteger="1" minValue="1" maxValue="50"/>
    </cacheField>
    <cacheField name="Data" numFmtId="14">
      <sharedItems containsSemiMixedTypes="0" containsNonDate="0" containsDate="1" containsString="0" minDate="2018-09-01T00:00:00" maxDate="2019-02-06T00:00:00"/>
    </cacheField>
    <cacheField name="Hora" numFmtId="165">
      <sharedItems containsSemiMixedTypes="0" containsNonDate="0" containsDate="1" containsString="0" minDate="1899-12-30T07:50:00" maxDate="1899-12-30T18:05:00"/>
    </cacheField>
    <cacheField name="Carro" numFmtId="0">
      <sharedItems count="25">
        <s v="Gol"/>
        <s v="Fox"/>
        <s v="Prisma"/>
        <s v="Ranger"/>
        <s v="Punto"/>
        <s v="Toro"/>
        <s v="KA"/>
        <s v="Celta"/>
        <s v="Mobi"/>
        <s v="Onix"/>
        <s v="Palio"/>
        <s v="Strada"/>
        <s v="UP"/>
        <s v="Cruze"/>
        <s v="Uno"/>
        <s v="S10"/>
        <s v="Amarok"/>
        <s v="Jetta"/>
        <s v="Idea"/>
        <s v="Cobalt"/>
        <s v="Spin"/>
        <s v="Fiesta"/>
        <s v="Ecosport"/>
        <s v="Focus"/>
        <s v="Fusion"/>
      </sharedItems>
    </cacheField>
    <cacheField name="Cor" numFmtId="0">
      <sharedItems/>
    </cacheField>
    <cacheField name="Ano" numFmtId="0">
      <sharedItems containsSemiMixedTypes="0" containsString="0" containsNumber="1" containsInteger="1" minValue="2008" maxValue="2019"/>
    </cacheField>
    <cacheField name="Modelo" numFmtId="0">
      <sharedItems containsSemiMixedTypes="0" containsString="0" containsNumber="1" containsInteger="1" minValue="2008" maxValue="2019"/>
    </cacheField>
    <cacheField name="KM" numFmtId="0">
      <sharedItems containsSemiMixedTypes="0" containsString="0" containsNumber="1" containsInteger="1" minValue="0" maxValue="160000" count="17">
        <n v="0"/>
        <n v="12000"/>
        <n v="35000"/>
        <n v="90000"/>
        <n v="120000"/>
        <n v="80000"/>
        <n v="45000"/>
        <n v="160000"/>
        <n v="60000"/>
        <n v="40000"/>
        <n v="5000"/>
        <n v="15000"/>
        <n v="10000"/>
        <n v="25000"/>
        <n v="75000"/>
        <n v="30000"/>
        <n v="20000"/>
      </sharedItems>
    </cacheField>
    <cacheField name="Marca" numFmtId="0">
      <sharedItems/>
    </cacheField>
    <cacheField name="Valor" numFmtId="164">
      <sharedItems containsSemiMixedTypes="0" containsString="0" containsNumber="1" containsInteger="1" minValue="16000" maxValue="125000"/>
    </cacheField>
    <cacheField name="Loja" numFmtId="0">
      <sharedItems containsSemiMixedTypes="0" containsString="0" containsNumber="1" containsInteger="1" minValue="1" maxValue="8"/>
    </cacheField>
    <cacheField name="Estado" numFmtId="0">
      <sharedItems count="5">
        <s v="SP"/>
        <s v="RJ"/>
        <s v="MG"/>
        <s v="AM"/>
        <s v="PB"/>
      </sharedItems>
    </cacheField>
    <cacheField name="Cidade" numFmtId="0">
      <sharedItems count="8">
        <s v="Campinas"/>
        <s v="Rio de Janeiro"/>
        <s v="Sumaré"/>
        <s v="Belo Horizonte"/>
        <s v="Araraquara"/>
        <s v="Hortolândia"/>
        <s v="Manaus"/>
        <s v="João Pessoa"/>
      </sharedItems>
    </cacheField>
    <cacheField name="Comissão" numFmtId="9">
      <sharedItems containsSemiMixedTypes="0" containsString="0" containsNumber="1" minValue="0.01" maxValue="0.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ábio Silva" refreshedDate="45928.847647337963" backgroundQuery="1" createdVersion="8" refreshedVersion="8" minRefreshableVersion="3" recordCount="0" supportSubquery="1" supportAdvancedDrill="1" xr:uid="{2114BC5A-046D-422D-B7C6-19105D635F2D}">
  <cacheSource type="external" connectionId="1"/>
  <cacheFields count="14">
    <cacheField name="[Measures].[Soma de Valor]" caption="Soma de Valor" numFmtId="0" hierarchy="29" level="32767"/>
    <cacheField name="[Lojas].[Nome].[Nome]" caption="Nome" numFmtId="0" hierarchy="1" level="1">
      <sharedItems count="6">
        <s v="ABC Multimarcas"/>
        <s v="BBV Multimarcas"/>
        <s v="HHF Auto"/>
        <s v="MGP Multimarcas"/>
        <s v="TTY Revenda Usados"/>
        <s v="WWU Multimarcas"/>
      </sharedItems>
    </cacheField>
    <cacheField name="[Measures].[Contagem de Valor]" caption="Contagem de Valor" numFmtId="0" hierarchy="31" level="32767"/>
    <cacheField name="[Vendas].[KM].[KM]" caption="KM" numFmtId="0" hierarchy="13" level="1">
      <sharedItems containsSemiMixedTypes="0" containsNonDate="0" containsString="0"/>
    </cacheField>
    <cacheField name="[Vendas].[Estado].[Estado]" caption="Estado" numFmtId="0" hierarchy="17" level="1">
      <sharedItems containsSemiMixedTypes="0" containsNonDate="0" containsString="0"/>
    </cacheField>
    <cacheField name="[Vendas].[Data_Ano].[Data_Ano]" caption="Data_Ano" numFmtId="0" hierarchy="23" level="1">
      <sharedItems containsSemiMixedTypes="0" containsNonDate="0" containsString="0"/>
    </cacheField>
    <cacheField name="[Vendas].[Data_Mês].[Data_Mês]" caption="Data_Mês" numFmtId="0" hierarchy="22" level="1">
      <sharedItems containsSemiMixedTypes="0" containsNonDate="0" containsString="0"/>
    </cacheField>
    <cacheField name="[Vendas].[Data_Dia].[Data_Dia]" caption="Data_Dia" numFmtId="0" hierarchy="21" level="1">
      <sharedItems containsSemiMixedTypes="0" containsNonDate="0" containsString="0"/>
    </cacheField>
    <cacheField name="[Vendas].[Carro].[Carro]" caption="Carro" numFmtId="0" hierarchy="9" level="1">
      <sharedItems count="25">
        <s v="Fox"/>
        <s v="Fusion"/>
        <s v="Gol"/>
        <s v="Mobi"/>
        <s v="Punto"/>
        <s v="Ranger"/>
        <s v="Uno"/>
        <s v="UP"/>
        <s v="Cobalt"/>
        <s v="KA"/>
        <s v="Spin"/>
        <s v="Toro"/>
        <s v="Idea"/>
        <s v="Amarok"/>
        <s v="Celta"/>
        <s v="Cruze"/>
        <s v="Fiesta"/>
        <s v="Strada"/>
        <s v="Jetta"/>
        <s v="Onix"/>
        <s v="Focus"/>
        <s v="Palio"/>
        <s v="Prisma"/>
        <s v="Ecosport"/>
        <s v="S10"/>
      </sharedItems>
    </cacheField>
    <cacheField name="[Lojas].[Cidade].[Cidade]" caption="Cidade" numFmtId="0" hierarchy="3" level="1">
      <sharedItems count="8">
        <s v="Campinas"/>
        <s v="Hortolândia"/>
        <s v="Araraquara"/>
        <s v="João Pessoa"/>
        <s v="Rio de Janeiro"/>
        <s v="Sumaré"/>
        <s v="Belo Horizonte"/>
        <s v="Manaus"/>
      </sharedItems>
    </cacheField>
    <cacheField name="[Measures].[Soma de Faturamento]" caption="Soma de Faturamento" numFmtId="0" hierarchy="32" level="32767"/>
    <cacheField name="[Measures].[Soma de Comissão]" caption="Soma de Comissão" numFmtId="0" hierarchy="34" level="32767"/>
    <cacheField name="[Measures].[Lucro]" caption="Lucro" numFmtId="0" hierarchy="25" level="32767"/>
    <cacheField name="Dummy0" numFmtId="0" hierarchy="3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36">
    <cacheHierarchy uniqueName="[Lojas].[ID]" caption="ID" attribute="1" defaultMemberUniqueName="[Lojas].[ID].[All]" allUniqueName="[Lojas].[ID].[All]" dimensionUniqueName="[Lojas]" displayFolder="" count="0" memberValueDatatype="20" unbalanced="0"/>
    <cacheHierarchy uniqueName="[Lojas].[Nome]" caption="Nome" attribute="1" defaultMemberUniqueName="[Lojas].[Nome].[All]" allUniqueName="[Lojas].[Nome].[All]" dimensionUniqueName="[Lojas]" displayFolder="" count="2" memberValueDatatype="130" unbalanced="0">
      <fieldsUsage count="2">
        <fieldUsage x="-1"/>
        <fieldUsage x="1"/>
      </fieldsUsage>
    </cacheHierarchy>
    <cacheHierarchy uniqueName="[Lojas].[Estado]" caption="Estado" attribute="1" defaultMemberUniqueName="[Lojas].[Estado].[All]" allUniqueName="[Lojas].[Estado].[All]" dimensionUniqueName="[Lojas]" displayFolder="" count="0" memberValueDatatype="130" unbalanced="0"/>
    <cacheHierarchy uniqueName="[Lojas].[Cidade]" caption="Cidade" attribute="1" defaultMemberUniqueName="[Lojas].[Cidade].[All]" allUniqueName="[Lojas].[Cidade].[All]" dimensionUniqueName="[Lojas]" displayFolder="" count="2" memberValueDatatype="130" unbalanced="0">
      <fieldsUsage count="2">
        <fieldUsage x="-1"/>
        <fieldUsage x="9"/>
      </fieldsUsage>
    </cacheHierarchy>
    <cacheHierarchy uniqueName="[Lojas].[Porte]" caption="Porte" attribute="1" defaultMemberUniqueName="[Lojas].[Porte].[All]" allUniqueName="[Lojas].[Porte].[All]" dimensionUniqueName="[Lojas]" displayFolder="" count="0" memberValueDatatype="130" unbalanced="0"/>
    <cacheHierarchy uniqueName="[Lojas].[Grupo]" caption="Grupo" attribute="1" defaultMemberUniqueName="[Lojas].[Grupo].[All]" allUniqueName="[Lojas].[Grupo].[All]" dimensionUniqueName="[Lojas]" displayFolder="" count="0" memberValueDatatype="130" unbalanced="0"/>
    <cacheHierarchy uniqueName="[Vendas].[ID]" caption="ID" attribute="1" defaultMemberUniqueName="[Vendas].[ID].[All]" allUniqueName="[Vendas].[ID].[All]" dimensionUniqueName="[Vendas]" displayFolder="" count="0" memberValueDatatype="20" unbalanced="0"/>
    <cacheHierarchy uniqueName="[Vendas].[Data]" caption="Data" attribute="1" time="1" defaultMemberUniqueName="[Vendas].[Data].[All]" allUniqueName="[Vendas].[Data].[All]" dimensionUniqueName="[Vendas]" displayFolder="" count="0" memberValueDatatype="7" unbalanced="0"/>
    <cacheHierarchy uniqueName="[Vendas].[Hora]" caption="Hora" attribute="1" time="1" defaultMemberUniqueName="[Vendas].[Hora].[All]" allUniqueName="[Vendas].[Hora].[All]" dimensionUniqueName="[Vendas]" displayFolder="" count="0" memberValueDatatype="7" unbalanced="0"/>
    <cacheHierarchy uniqueName="[Vendas].[Carro]" caption="Carro" attribute="1" defaultMemberUniqueName="[Vendas].[Carro].[All]" allUniqueName="[Vendas].[Carro].[All]" dimensionUniqueName="[Vendas]" displayFolder="" count="2" memberValueDatatype="130" unbalanced="0">
      <fieldsUsage count="2">
        <fieldUsage x="-1"/>
        <fieldUsage x="8"/>
      </fieldsUsage>
    </cacheHierarchy>
    <cacheHierarchy uniqueName="[Vendas].[Cor]" caption="Cor" attribute="1" defaultMemberUniqueName="[Vendas].[Cor].[All]" allUniqueName="[Vendas].[Cor].[All]" dimensionUniqueName="[Vendas]" displayFolder="" count="0" memberValueDatatype="130" unbalanced="0"/>
    <cacheHierarchy uniqueName="[Vendas].[Ano]" caption="Ano" attribute="1" defaultMemberUniqueName="[Vendas].[Ano].[All]" allUniqueName="[Vendas].[Ano].[All]" dimensionUniqueName="[Vendas]" displayFolder="" count="0" memberValueDatatype="20" unbalanced="0"/>
    <cacheHierarchy uniqueName="[Vendas].[Modelo]" caption="Modelo" attribute="1" defaultMemberUniqueName="[Vendas].[Modelo].[All]" allUniqueName="[Vendas].[Modelo].[All]" dimensionUniqueName="[Vendas]" displayFolder="" count="0" memberValueDatatype="20" unbalanced="0"/>
    <cacheHierarchy uniqueName="[Vendas].[KM]" caption="KM" attribute="1" defaultMemberUniqueName="[Vendas].[KM].[All]" allUniqueName="[Vendas].[KM].[All]" dimensionUniqueName="[Vendas]" displayFolder="" count="2" memberValueDatatype="20" unbalanced="0">
      <fieldsUsage count="2">
        <fieldUsage x="-1"/>
        <fieldUsage x="3"/>
      </fieldsUsage>
    </cacheHierarchy>
    <cacheHierarchy uniqueName="[Vendas].[Marca]" caption="Marca" attribute="1" defaultMemberUniqueName="[Vendas].[Marca].[All]" allUniqueName="[Vendas].[Marca].[All]" dimensionUniqueName="[Vendas]" displayFolder="" count="0" memberValueDatatype="130" unbalanced="0"/>
    <cacheHierarchy uniqueName="[Vendas].[Valor]" caption="Valor" attribute="1" defaultMemberUniqueName="[Vendas].[Valor].[All]" allUniqueName="[Vendas].[Valor].[All]" dimensionUniqueName="[Vendas]" displayFolder="" count="0" memberValueDatatype="20" unbalanced="0"/>
    <cacheHierarchy uniqueName="[Vendas].[Loja]" caption="Loja" attribute="1" defaultMemberUniqueName="[Vendas].[Loja].[All]" allUniqueName="[Vendas].[Loja].[All]" dimensionUniqueName="[Vendas]" displayFolder="" count="0" memberValueDatatype="20" unbalanced="0"/>
    <cacheHierarchy uniqueName="[Vendas].[Estado]" caption="Estado" attribute="1" defaultMemberUniqueName="[Vendas].[Estado].[All]" allUniqueName="[Vendas].[Estado].[All]" dimensionUniqueName="[Vendas]" displayFolder="" count="2" memberValueDatatype="130" unbalanced="0">
      <fieldsUsage count="2">
        <fieldUsage x="-1"/>
        <fieldUsage x="4"/>
      </fieldsUsage>
    </cacheHierarchy>
    <cacheHierarchy uniqueName="[Vendas].[Cidade]" caption="Cidade" attribute="1" defaultMemberUniqueName="[Vendas].[Cidade].[All]" allUniqueName="[Vendas].[Cidade].[All]" dimensionUniqueName="[Vendas]" displayFolder="" count="0" memberValueDatatype="130" unbalanced="0"/>
    <cacheHierarchy uniqueName="[Vendas].[Comissão]" caption="Comissão" attribute="1" defaultMemberUniqueName="[Vendas].[Comissão].[All]" allUniqueName="[Vendas].[Comissão].[All]" dimensionUniqueName="[Vendas]" displayFolder="" count="0" memberValueDatatype="5" unbalanced="0"/>
    <cacheHierarchy uniqueName="[Vendas].[Faturamento]" caption="Faturamento" attribute="1" defaultMemberUniqueName="[Vendas].[Faturamento].[All]" allUniqueName="[Vendas].[Faturamento].[All]" dimensionUniqueName="[Vendas]" displayFolder="" count="0" memberValueDatatype="5" unbalanced="0"/>
    <cacheHierarchy uniqueName="[Vendas].[Data_Dia]" caption="Data_Dia" attribute="1" defaultMemberUniqueName="[Vendas].[Data_Dia].[All]" allUniqueName="[Vendas].[Data_Dia].[All]" dimensionUniqueName="[Vendas]" displayFolder="" count="2" memberValueDatatype="20" unbalanced="0">
      <fieldsUsage count="2">
        <fieldUsage x="-1"/>
        <fieldUsage x="7"/>
      </fieldsUsage>
    </cacheHierarchy>
    <cacheHierarchy uniqueName="[Vendas].[Data_Mês]" caption="Data_Mês" attribute="1" defaultMemberUniqueName="[Vendas].[Data_Mês].[All]" allUniqueName="[Vendas].[Data_Mês].[All]" dimensionUniqueName="[Vendas]" displayFolder="" count="2" memberValueDatatype="20" unbalanced="0">
      <fieldsUsage count="2">
        <fieldUsage x="-1"/>
        <fieldUsage x="6"/>
      </fieldsUsage>
    </cacheHierarchy>
    <cacheHierarchy uniqueName="[Vendas].[Data_Ano]" caption="Data_Ano" attribute="1" defaultMemberUniqueName="[Vendas].[Data_Ano].[All]" allUniqueName="[Vendas].[Data_Ano].[All]" dimensionUniqueName="[Vendas]" displayFolder="" count="2" memberValueDatatype="20" unbalanced="0">
      <fieldsUsage count="2">
        <fieldUsage x="-1"/>
        <fieldUsage x="5"/>
      </fieldsUsage>
    </cacheHierarchy>
    <cacheHierarchy uniqueName="[Vendas].[Data_Hora]" caption="Data_Hora" attribute="1" defaultMemberUniqueName="[Vendas].[Data_Hora].[All]" allUniqueName="[Vendas].[Data_Hora].[All]" dimensionUniqueName="[Vendas]" displayFolder="" count="0" memberValueDatatype="20" unbalanced="0"/>
    <cacheHierarchy uniqueName="[Measures].[Lucro]" caption="Lucro" measure="1" displayFolder="" measureGroup="Vendas" count="0" oneField="1">
      <fieldsUsage count="1">
        <fieldUsage x="12"/>
      </fieldsUsage>
    </cacheHierarchy>
    <cacheHierarchy uniqueName="[Measures].[__XL_Count Vendas]" caption="__XL_Count Vendas" measure="1" displayFolder="" measureGroup="Vendas" count="0" hidden="1"/>
    <cacheHierarchy uniqueName="[Measures].[__XL_Count Lojas]" caption="__XL_Count Lojas" measure="1" displayFolder="" measureGroup="Lojas" count="0" hidden="1"/>
    <cacheHierarchy uniqueName="[Measures].[__No measures defined]" caption="__No measures defined" measure="1" displayFolder="" count="0" hidden="1"/>
    <cacheHierarchy uniqueName="[Measures].[Soma de Valor]" caption="Soma de Valor" measure="1" displayFolder="" measureGroup="Venda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édia de Valor]" caption="Média de Valor" measure="1" displayFolder="" measureGroup="Venda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e Valor]" caption="Contagem de Valor" measure="1" displayFolder="" measureGroup="Venda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Faturamento]" caption="Soma de Faturamento" measure="1" displayFolder="" measureGroup="Vendas" count="0" oneField="1" hidden="1">
      <fieldsUsage count="1">
        <fieldUsage x="10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Data_Hora]" caption="Soma de Data_Hora" measure="1" displayFolder="" measureGroup="Venda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Comissão]" caption="Soma de Comissão" measure="1" displayFolder="" measureGroup="Vendas" count="0" oneField="1" hidden="1">
      <fieldsUsage count="1">
        <fieldUsage x="1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Dummy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3">
    <dimension name="Lojas" uniqueName="[Lojas]" caption="Lojas"/>
    <dimension measure="1" name="Measures" uniqueName="[Measures]" caption="Measures"/>
    <dimension name="Vendas" uniqueName="[Vendas]" caption="Vendas"/>
  </dimensions>
  <measureGroups count="2">
    <measureGroup name="Lojas" caption="Lojas"/>
    <measureGroup name="Vendas" caption="Vendas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d v="2018-09-01T00:00:00"/>
    <d v="1899-12-30T12:45:00"/>
    <x v="0"/>
    <s v="Branco"/>
    <n v="2018"/>
    <n v="2019"/>
    <x v="0"/>
    <s v="VW"/>
    <n v="45000"/>
    <n v="1"/>
    <x v="0"/>
    <x v="0"/>
    <n v="0.05"/>
  </r>
  <r>
    <n v="2"/>
    <d v="2018-09-01T00:00:00"/>
    <d v="1899-12-30T16:30:00"/>
    <x v="1"/>
    <s v="Preto"/>
    <n v="2015"/>
    <n v="2015"/>
    <x v="1"/>
    <s v="VW"/>
    <n v="48000"/>
    <n v="2"/>
    <x v="1"/>
    <x v="1"/>
    <n v="0.02"/>
  </r>
  <r>
    <n v="3"/>
    <d v="2018-09-01T00:00:00"/>
    <d v="1899-12-30T08:12:00"/>
    <x v="2"/>
    <s v="Branco"/>
    <n v="2010"/>
    <n v="2011"/>
    <x v="2"/>
    <s v="GM"/>
    <n v="30000"/>
    <n v="3"/>
    <x v="0"/>
    <x v="2"/>
    <n v="0.03"/>
  </r>
  <r>
    <n v="4"/>
    <d v="2018-09-02T00:00:00"/>
    <d v="1899-12-30T07:50:00"/>
    <x v="0"/>
    <s v="Vermelho"/>
    <n v="2010"/>
    <n v="2011"/>
    <x v="3"/>
    <s v="VW"/>
    <n v="20000"/>
    <n v="4"/>
    <x v="2"/>
    <x v="3"/>
    <n v="0.05"/>
  </r>
  <r>
    <n v="5"/>
    <d v="2018-09-02T00:00:00"/>
    <d v="1899-12-30T09:15:00"/>
    <x v="3"/>
    <s v="Branco"/>
    <n v="2008"/>
    <n v="2009"/>
    <x v="4"/>
    <s v="Ford"/>
    <n v="58000"/>
    <n v="5"/>
    <x v="0"/>
    <x v="4"/>
    <n v="0.02"/>
  </r>
  <r>
    <n v="6"/>
    <d v="2018-09-03T00:00:00"/>
    <d v="1899-12-30T09:00:00"/>
    <x v="4"/>
    <s v="Amarelo"/>
    <n v="2010"/>
    <n v="2010"/>
    <x v="5"/>
    <s v="Fiat"/>
    <n v="40000"/>
    <n v="1"/>
    <x v="0"/>
    <x v="0"/>
    <n v="0.05"/>
  </r>
  <r>
    <n v="7"/>
    <d v="2018-09-04T00:00:00"/>
    <d v="1899-12-30T10:25:00"/>
    <x v="5"/>
    <s v="Preto"/>
    <n v="2018"/>
    <n v="2019"/>
    <x v="0"/>
    <s v="Fiat"/>
    <n v="90000"/>
    <n v="6"/>
    <x v="0"/>
    <x v="5"/>
    <n v="0.08"/>
  </r>
  <r>
    <n v="8"/>
    <d v="2018-09-04T00:00:00"/>
    <d v="1899-12-30T13:14:00"/>
    <x v="6"/>
    <s v="Branco"/>
    <n v="2018"/>
    <n v="2018"/>
    <x v="0"/>
    <s v="Ford"/>
    <n v="40000"/>
    <n v="2"/>
    <x v="1"/>
    <x v="1"/>
    <n v="0.01"/>
  </r>
  <r>
    <n v="9"/>
    <d v="2018-09-04T00:00:00"/>
    <d v="1899-12-30T11:14:00"/>
    <x v="1"/>
    <s v="Prata"/>
    <n v="2015"/>
    <n v="2016"/>
    <x v="6"/>
    <s v="VW"/>
    <n v="35000"/>
    <n v="7"/>
    <x v="3"/>
    <x v="6"/>
    <n v="7.0000000000000007E-2"/>
  </r>
  <r>
    <n v="10"/>
    <d v="2018-09-05T00:00:00"/>
    <d v="1899-12-30T15:40:00"/>
    <x v="7"/>
    <s v="Prata"/>
    <n v="2008"/>
    <n v="2008"/>
    <x v="7"/>
    <s v="GM"/>
    <n v="16000"/>
    <n v="8"/>
    <x v="4"/>
    <x v="7"/>
    <n v="0.03"/>
  </r>
  <r>
    <n v="11"/>
    <d v="2018-09-05T00:00:00"/>
    <d v="1899-12-30T08:20:00"/>
    <x v="1"/>
    <s v="Prata"/>
    <n v="2018"/>
    <n v="2018"/>
    <x v="0"/>
    <s v="VW"/>
    <n v="47000"/>
    <n v="1"/>
    <x v="0"/>
    <x v="0"/>
    <n v="0.02"/>
  </r>
  <r>
    <n v="12"/>
    <d v="2018-09-05T00:00:00"/>
    <d v="1899-12-30T08:30:00"/>
    <x v="8"/>
    <s v="Branco"/>
    <n v="2017"/>
    <n v="2018"/>
    <x v="2"/>
    <s v="Fiat"/>
    <n v="38000"/>
    <n v="1"/>
    <x v="0"/>
    <x v="0"/>
    <n v="0.01"/>
  </r>
  <r>
    <n v="13"/>
    <d v="2018-09-06T00:00:00"/>
    <d v="1899-12-30T10:00:00"/>
    <x v="9"/>
    <s v="Preto"/>
    <n v="2014"/>
    <n v="2015"/>
    <x v="8"/>
    <s v="GM"/>
    <n v="33000"/>
    <n v="2"/>
    <x v="1"/>
    <x v="1"/>
    <n v="0.05"/>
  </r>
  <r>
    <n v="14"/>
    <d v="2018-09-06T00:00:00"/>
    <d v="1899-12-30T16:00:00"/>
    <x v="10"/>
    <s v="Vermelho"/>
    <n v="2013"/>
    <n v="2014"/>
    <x v="9"/>
    <s v="Fiat"/>
    <n v="28000"/>
    <n v="3"/>
    <x v="0"/>
    <x v="2"/>
    <n v="0.06"/>
  </r>
  <r>
    <n v="15"/>
    <d v="2018-09-07T00:00:00"/>
    <d v="1899-12-30T16:25:00"/>
    <x v="11"/>
    <s v="Branco"/>
    <n v="2019"/>
    <n v="2019"/>
    <x v="0"/>
    <s v="Fiat"/>
    <n v="38000"/>
    <n v="3"/>
    <x v="0"/>
    <x v="2"/>
    <n v="0.06"/>
  </r>
  <r>
    <n v="16"/>
    <d v="2018-09-07T00:00:00"/>
    <d v="1899-12-30T13:40:00"/>
    <x v="12"/>
    <s v="Prata"/>
    <n v="2018"/>
    <n v="2018"/>
    <x v="10"/>
    <s v="VW"/>
    <n v="40000"/>
    <n v="1"/>
    <x v="0"/>
    <x v="0"/>
    <n v="7.0000000000000007E-2"/>
  </r>
  <r>
    <n v="17"/>
    <d v="2018-09-07T00:00:00"/>
    <d v="1899-12-30T11:15:00"/>
    <x v="13"/>
    <s v="Preto"/>
    <n v="2017"/>
    <n v="2017"/>
    <x v="11"/>
    <s v="GM"/>
    <n v="85000"/>
    <n v="8"/>
    <x v="4"/>
    <x v="7"/>
    <n v="0.04"/>
  </r>
  <r>
    <n v="18"/>
    <d v="2018-09-08T00:00:00"/>
    <d v="1899-12-30T12:10:00"/>
    <x v="8"/>
    <s v="Vermelho"/>
    <n v="2018"/>
    <n v="2019"/>
    <x v="0"/>
    <s v="Fiat"/>
    <n v="30000"/>
    <n v="8"/>
    <x v="4"/>
    <x v="7"/>
    <n v="0.04"/>
  </r>
  <r>
    <n v="19"/>
    <d v="2018-09-08T00:00:00"/>
    <d v="1899-12-30T15:00:00"/>
    <x v="3"/>
    <s v="Branco"/>
    <n v="2019"/>
    <n v="2019"/>
    <x v="0"/>
    <s v="Ford"/>
    <n v="125000"/>
    <n v="7"/>
    <x v="3"/>
    <x v="6"/>
    <n v="0.05"/>
  </r>
  <r>
    <n v="20"/>
    <d v="2018-09-08T00:00:00"/>
    <d v="1899-12-30T17:55:00"/>
    <x v="6"/>
    <s v="Branco"/>
    <n v="2019"/>
    <n v="2019"/>
    <x v="0"/>
    <s v="Ford"/>
    <n v="35000"/>
    <n v="6"/>
    <x v="0"/>
    <x v="5"/>
    <n v="0.02"/>
  </r>
  <r>
    <n v="21"/>
    <d v="2018-09-09T00:00:00"/>
    <d v="1899-12-30T15:00:00"/>
    <x v="6"/>
    <s v="Prata"/>
    <n v="2018"/>
    <n v="2019"/>
    <x v="10"/>
    <s v="Ford"/>
    <n v="37000"/>
    <n v="5"/>
    <x v="0"/>
    <x v="4"/>
    <n v="0.04"/>
  </r>
  <r>
    <n v="22"/>
    <d v="2018-09-09T00:00:00"/>
    <d v="1899-12-30T16:00:00"/>
    <x v="8"/>
    <s v="Preto"/>
    <n v="2018"/>
    <n v="2018"/>
    <x v="12"/>
    <s v="Fiat"/>
    <n v="31000"/>
    <n v="5"/>
    <x v="0"/>
    <x v="4"/>
    <n v="0.01"/>
  </r>
  <r>
    <n v="23"/>
    <d v="2018-09-10T00:00:00"/>
    <d v="1899-12-30T13:00:00"/>
    <x v="0"/>
    <s v="Vermelho"/>
    <n v="2014"/>
    <n v="2014"/>
    <x v="8"/>
    <s v="VW"/>
    <n v="30000"/>
    <n v="1"/>
    <x v="0"/>
    <x v="0"/>
    <n v="0.03"/>
  </r>
  <r>
    <n v="24"/>
    <d v="2018-09-10T00:00:00"/>
    <d v="1899-12-30T11:00:00"/>
    <x v="0"/>
    <s v="Preto"/>
    <n v="2015"/>
    <n v="2016"/>
    <x v="13"/>
    <s v="VW"/>
    <n v="35000"/>
    <n v="1"/>
    <x v="0"/>
    <x v="0"/>
    <n v="0.05"/>
  </r>
  <r>
    <n v="25"/>
    <d v="2018-09-10T00:00:00"/>
    <d v="1899-12-30T15:30:00"/>
    <x v="14"/>
    <s v="Prata"/>
    <n v="2010"/>
    <n v="2010"/>
    <x v="5"/>
    <s v="Fiat"/>
    <n v="22000"/>
    <n v="3"/>
    <x v="0"/>
    <x v="2"/>
    <n v="0.02"/>
  </r>
  <r>
    <n v="26"/>
    <d v="2018-09-10T00:00:00"/>
    <d v="1899-12-30T14:50:00"/>
    <x v="15"/>
    <s v="Branco"/>
    <n v="2013"/>
    <n v="2013"/>
    <x v="14"/>
    <s v="GM"/>
    <n v="55000"/>
    <n v="7"/>
    <x v="3"/>
    <x v="6"/>
    <n v="0.06"/>
  </r>
  <r>
    <n v="27"/>
    <d v="2018-09-10T00:00:00"/>
    <d v="1899-12-30T17:44:00"/>
    <x v="16"/>
    <s v="Prata"/>
    <n v="2015"/>
    <n v="2015"/>
    <x v="15"/>
    <s v="VW"/>
    <n v="75000"/>
    <n v="8"/>
    <x v="4"/>
    <x v="7"/>
    <n v="0.08"/>
  </r>
  <r>
    <n v="28"/>
    <d v="2018-10-02T00:00:00"/>
    <d v="1899-12-30T14:10:00"/>
    <x v="0"/>
    <s v="Vermelho"/>
    <n v="2019"/>
    <n v="2019"/>
    <x v="0"/>
    <s v="VW"/>
    <n v="43000"/>
    <n v="1"/>
    <x v="0"/>
    <x v="0"/>
    <n v="0.02"/>
  </r>
  <r>
    <n v="29"/>
    <d v="2018-10-02T00:00:00"/>
    <d v="1899-12-30T16:50:00"/>
    <x v="14"/>
    <s v="Branco"/>
    <n v="2010"/>
    <n v="2010"/>
    <x v="5"/>
    <s v="Fiat"/>
    <n v="18000"/>
    <n v="1"/>
    <x v="0"/>
    <x v="0"/>
    <n v="0.03"/>
  </r>
  <r>
    <n v="30"/>
    <d v="2018-10-03T00:00:00"/>
    <d v="1899-12-30T17:00:00"/>
    <x v="17"/>
    <s v="Prata"/>
    <n v="2012"/>
    <n v="2013"/>
    <x v="6"/>
    <s v="VW"/>
    <n v="45000"/>
    <n v="2"/>
    <x v="1"/>
    <x v="1"/>
    <n v="0.03"/>
  </r>
  <r>
    <n v="31"/>
    <d v="2018-10-04T00:00:00"/>
    <d v="1899-12-30T08:15:00"/>
    <x v="9"/>
    <s v="Branco"/>
    <n v="2019"/>
    <n v="2019"/>
    <x v="0"/>
    <s v="GM"/>
    <n v="39000"/>
    <n v="3"/>
    <x v="0"/>
    <x v="2"/>
    <n v="0.04"/>
  </r>
  <r>
    <n v="32"/>
    <d v="2018-10-15T00:00:00"/>
    <d v="1899-12-30T09:10:00"/>
    <x v="18"/>
    <s v="Vermelho"/>
    <n v="2011"/>
    <n v="2011"/>
    <x v="13"/>
    <s v="Fiat"/>
    <n v="34000"/>
    <n v="5"/>
    <x v="0"/>
    <x v="4"/>
    <n v="0.05"/>
  </r>
  <r>
    <n v="33"/>
    <d v="2018-10-20T00:00:00"/>
    <d v="1899-12-30T12:40:00"/>
    <x v="13"/>
    <s v="Prata"/>
    <n v="2019"/>
    <n v="2019"/>
    <x v="0"/>
    <s v="GM"/>
    <n v="80000"/>
    <n v="4"/>
    <x v="2"/>
    <x v="3"/>
    <n v="0.05"/>
  </r>
  <r>
    <n v="34"/>
    <d v="2018-11-05T00:00:00"/>
    <d v="1899-12-30T13:35:00"/>
    <x v="19"/>
    <s v="Preto"/>
    <n v="2014"/>
    <n v="2015"/>
    <x v="13"/>
    <s v="GM"/>
    <n v="50000"/>
    <n v="6"/>
    <x v="0"/>
    <x v="5"/>
    <n v="7.0000000000000007E-2"/>
  </r>
  <r>
    <n v="35"/>
    <d v="2018-11-07T00:00:00"/>
    <d v="1899-12-30T14:40:00"/>
    <x v="20"/>
    <s v="Prata"/>
    <n v="2019"/>
    <n v="2019"/>
    <x v="0"/>
    <s v="GM"/>
    <n v="65000"/>
    <n v="6"/>
    <x v="0"/>
    <x v="5"/>
    <n v="0.04"/>
  </r>
  <r>
    <n v="36"/>
    <d v="2018-11-07T00:00:00"/>
    <d v="1899-12-30T14:55:00"/>
    <x v="12"/>
    <s v="Prata"/>
    <n v="2018"/>
    <n v="2019"/>
    <x v="0"/>
    <s v="VW"/>
    <n v="45000"/>
    <n v="7"/>
    <x v="3"/>
    <x v="6"/>
    <n v="0.02"/>
  </r>
  <r>
    <n v="37"/>
    <d v="2018-11-07T00:00:00"/>
    <d v="1899-12-30T18:05:00"/>
    <x v="12"/>
    <s v="Vermelho"/>
    <n v="2012"/>
    <n v="2013"/>
    <x v="8"/>
    <s v="VW"/>
    <n v="29000"/>
    <n v="8"/>
    <x v="4"/>
    <x v="7"/>
    <n v="0.01"/>
  </r>
  <r>
    <n v="38"/>
    <d v="2018-11-07T00:00:00"/>
    <d v="1899-12-30T15:05:00"/>
    <x v="21"/>
    <s v="Prata"/>
    <n v="2015"/>
    <n v="2015"/>
    <x v="15"/>
    <s v="Ford"/>
    <n v="38000"/>
    <n v="8"/>
    <x v="4"/>
    <x v="7"/>
    <n v="0.02"/>
  </r>
  <r>
    <n v="39"/>
    <d v="2018-11-07T00:00:00"/>
    <d v="1899-12-30T11:10:00"/>
    <x v="21"/>
    <s v="Vermelho"/>
    <n v="2018"/>
    <n v="2019"/>
    <x v="0"/>
    <s v="Ford"/>
    <n v="48000"/>
    <n v="8"/>
    <x v="4"/>
    <x v="7"/>
    <n v="0.04"/>
  </r>
  <r>
    <n v="40"/>
    <d v="2018-11-07T00:00:00"/>
    <d v="1899-12-30T11:00:00"/>
    <x v="22"/>
    <s v="Prata"/>
    <n v="2016"/>
    <n v="2017"/>
    <x v="16"/>
    <s v="Ford"/>
    <n v="59000"/>
    <n v="7"/>
    <x v="3"/>
    <x v="6"/>
    <n v="0.05"/>
  </r>
  <r>
    <n v="41"/>
    <d v="2018-12-15T00:00:00"/>
    <d v="1899-12-30T10:25:00"/>
    <x v="6"/>
    <s v="Prata"/>
    <n v="2018"/>
    <n v="2019"/>
    <x v="0"/>
    <s v="Ford"/>
    <n v="44000"/>
    <n v="4"/>
    <x v="2"/>
    <x v="3"/>
    <n v="0.06"/>
  </r>
  <r>
    <n v="42"/>
    <d v="2018-12-16T00:00:00"/>
    <d v="1899-12-30T09:40:00"/>
    <x v="23"/>
    <s v="Vermelho"/>
    <n v="2018"/>
    <n v="2019"/>
    <x v="0"/>
    <s v="Ford"/>
    <n v="70000"/>
    <n v="4"/>
    <x v="2"/>
    <x v="3"/>
    <n v="0.06"/>
  </r>
  <r>
    <n v="43"/>
    <d v="2018-12-20T00:00:00"/>
    <d v="1899-12-30T08:40:00"/>
    <x v="23"/>
    <s v="Vermelho"/>
    <n v="2011"/>
    <n v="2011"/>
    <x v="5"/>
    <s v="Ford"/>
    <n v="35000"/>
    <n v="3"/>
    <x v="0"/>
    <x v="2"/>
    <n v="0.03"/>
  </r>
  <r>
    <n v="44"/>
    <d v="2019-01-04T00:00:00"/>
    <d v="1899-12-30T09:30:00"/>
    <x v="24"/>
    <s v="Prata"/>
    <n v="2019"/>
    <n v="2019"/>
    <x v="0"/>
    <s v="Ford"/>
    <n v="120000"/>
    <n v="1"/>
    <x v="0"/>
    <x v="0"/>
    <n v="0.08"/>
  </r>
  <r>
    <n v="45"/>
    <d v="2019-01-04T00:00:00"/>
    <d v="1899-12-30T10:30:00"/>
    <x v="3"/>
    <s v="Preto"/>
    <n v="2015"/>
    <n v="2015"/>
    <x v="5"/>
    <s v="Ford"/>
    <n v="80000"/>
    <n v="1"/>
    <x v="0"/>
    <x v="0"/>
    <n v="7.0000000000000007E-2"/>
  </r>
  <r>
    <n v="46"/>
    <d v="2019-01-04T00:00:00"/>
    <d v="1899-12-30T14:30:00"/>
    <x v="1"/>
    <s v="Prata"/>
    <n v="2016"/>
    <n v="2017"/>
    <x v="15"/>
    <s v="VW"/>
    <n v="41000"/>
    <n v="2"/>
    <x v="1"/>
    <x v="1"/>
    <n v="0.09"/>
  </r>
  <r>
    <n v="47"/>
    <d v="2019-02-05T00:00:00"/>
    <d v="1899-12-30T14:00:00"/>
    <x v="1"/>
    <s v="Preto"/>
    <n v="2019"/>
    <n v="2019"/>
    <x v="0"/>
    <s v="VW"/>
    <n v="48000"/>
    <n v="3"/>
    <x v="0"/>
    <x v="2"/>
    <n v="0.04"/>
  </r>
  <r>
    <n v="48"/>
    <d v="2019-02-05T00:00:00"/>
    <d v="1899-12-30T16:00:00"/>
    <x v="5"/>
    <s v="Preto"/>
    <n v="2018"/>
    <n v="2018"/>
    <x v="16"/>
    <s v="Fiat"/>
    <n v="70000"/>
    <n v="6"/>
    <x v="0"/>
    <x v="5"/>
    <n v="7.0000000000000007E-2"/>
  </r>
  <r>
    <n v="49"/>
    <d v="2019-02-05T00:00:00"/>
    <d v="1899-12-30T17:00:00"/>
    <x v="5"/>
    <s v="Branco"/>
    <n v="2019"/>
    <n v="2019"/>
    <x v="0"/>
    <s v="Fiat"/>
    <n v="90000"/>
    <n v="7"/>
    <x v="3"/>
    <x v="6"/>
    <n v="0.05"/>
  </r>
  <r>
    <n v="50"/>
    <d v="2019-02-05T00:00:00"/>
    <d v="1899-12-30T08:15:00"/>
    <x v="11"/>
    <s v="Branco"/>
    <n v="2015"/>
    <n v="2015"/>
    <x v="15"/>
    <s v="Fiat"/>
    <n v="40000"/>
    <n v="8"/>
    <x v="4"/>
    <x v="7"/>
    <n v="0.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BC65E1-4501-4DCA-8B96-D406FC0137E6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48" firstHeaderRow="1" firstDataRow="1" firstDataCol="1" rowPageCount="1" colPageCount="1"/>
  <pivotFields count="14">
    <pivotField showAll="0"/>
    <pivotField numFmtId="14" showAll="0"/>
    <pivotField numFmtId="165" showAll="0"/>
    <pivotField axis="axisRow" showAll="0">
      <items count="26">
        <item x="7"/>
        <item x="13"/>
        <item x="1"/>
        <item x="0"/>
        <item x="6"/>
        <item x="8"/>
        <item x="9"/>
        <item x="10"/>
        <item x="2"/>
        <item x="4"/>
        <item x="3"/>
        <item x="11"/>
        <item x="5"/>
        <item x="12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showAll="0"/>
    <pivotField showAll="0"/>
    <pivotField axis="axisPage" multipleItemSelectionAllowed="1" showAll="0">
      <items count="18">
        <item x="0"/>
        <item x="10"/>
        <item x="1"/>
        <item x="11"/>
        <item x="2"/>
        <item x="9"/>
        <item x="6"/>
        <item x="8"/>
        <item x="5"/>
        <item x="3"/>
        <item x="4"/>
        <item x="7"/>
        <item x="12"/>
        <item x="13"/>
        <item x="14"/>
        <item x="15"/>
        <item x="16"/>
        <item t="default"/>
      </items>
    </pivotField>
    <pivotField showAll="0"/>
    <pivotField dataField="1" numFmtId="164" showAll="0"/>
    <pivotField showAll="0"/>
    <pivotField axis="axisRow" showAll="0">
      <items count="6">
        <item x="3"/>
        <item x="2"/>
        <item x="4"/>
        <item x="1"/>
        <item x="0"/>
        <item t="default"/>
      </items>
    </pivotField>
    <pivotField showAll="0">
      <items count="9">
        <item x="4"/>
        <item x="3"/>
        <item x="0"/>
        <item x="5"/>
        <item x="7"/>
        <item x="6"/>
        <item x="1"/>
        <item x="2"/>
        <item t="default"/>
      </items>
    </pivotField>
    <pivotField numFmtId="9" showAll="0"/>
  </pivotFields>
  <rowFields count="2">
    <field x="11"/>
    <field x="3"/>
  </rowFields>
  <rowItems count="45">
    <i>
      <x/>
    </i>
    <i r="1">
      <x v="2"/>
    </i>
    <i r="1">
      <x v="10"/>
    </i>
    <i r="1">
      <x v="12"/>
    </i>
    <i r="1">
      <x v="13"/>
    </i>
    <i r="1">
      <x v="15"/>
    </i>
    <i r="1">
      <x v="22"/>
    </i>
    <i>
      <x v="1"/>
    </i>
    <i r="1">
      <x v="1"/>
    </i>
    <i r="1">
      <x v="3"/>
    </i>
    <i r="1">
      <x v="4"/>
    </i>
    <i r="1">
      <x v="23"/>
    </i>
    <i>
      <x v="2"/>
    </i>
    <i r="1">
      <x/>
    </i>
    <i r="1">
      <x v="1"/>
    </i>
    <i r="1">
      <x v="5"/>
    </i>
    <i r="1">
      <x v="11"/>
    </i>
    <i r="1">
      <x v="13"/>
    </i>
    <i r="1">
      <x v="16"/>
    </i>
    <i r="1">
      <x v="21"/>
    </i>
    <i>
      <x v="3"/>
    </i>
    <i r="1">
      <x v="2"/>
    </i>
    <i r="1">
      <x v="4"/>
    </i>
    <i r="1">
      <x v="6"/>
    </i>
    <i r="1">
      <x v="17"/>
    </i>
    <i>
      <x v="4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8"/>
    </i>
    <i r="1">
      <x v="19"/>
    </i>
    <i r="1">
      <x v="20"/>
    </i>
    <i r="1">
      <x v="23"/>
    </i>
    <i r="1">
      <x v="24"/>
    </i>
    <i t="grand">
      <x/>
    </i>
  </rowItems>
  <colItems count="1">
    <i/>
  </colItems>
  <pageFields count="1">
    <pageField fld="7" hier="-1"/>
  </pageFields>
  <dataFields count="1">
    <dataField name="Soma de Valor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B1865F-8601-42F3-8312-4F7419BAD3C1}" name="Tabela dinâmica2" cacheId="21" applyNumberFormats="0" applyBorderFormats="0" applyFontFormats="0" applyPatternFormats="0" applyAlignmentFormats="0" applyWidthHeightFormats="1" dataCaption="Valores" tag="b910ede4-0101-4fd2-bb7e-1818ca2572ba" updatedVersion="8" minRefreshableVersion="3" useAutoFormatting="1" subtotalHiddenItems="1" itemPrintTitles="1" createdVersion="8" indent="0" compact="0" compactData="0" multipleFieldFilters="0">
  <location ref="A5:I78" firstHeaderRow="0" firstDataRow="1" firstDataCol="3" rowPageCount="3" colPageCount="1"/>
  <pivotFields count="14">
    <pivotField dataField="1" compact="0" outline="0" subtotalTop="0" showAll="0" defaultSubtotal="0"/>
    <pivotField axis="axisRow" compact="0" allDrilled="1" outline="0" subtotalTop="0" showAll="0" insertBlankRow="1" sortType="descending" defaultAttributeDrillState="1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outline="0" subtotalTop="0" showAll="0" defaultSubtotal="0"/>
    <pivotField compact="0" allDrilled="1" outline="0" subtotalTop="0" showAll="0" insertBlankRow="1" dataSourceSort="1" defaultAttributeDrillState="1"/>
    <pivotField compact="0" allDrilled="1" outline="0" subtotalTop="0" showAll="0" insertBlankRow="1" dataSourceSort="1" defaultAttributeDrillState="1"/>
    <pivotField axis="axisPage" compact="0" allDrilled="1" outline="0" subtotalTop="0" showAll="0" insertBlankRow="1" dataSourceSort="1" defaultAttributeDrillState="1">
      <items count="1">
        <item t="default"/>
      </items>
    </pivotField>
    <pivotField axis="axisPage" compact="0" allDrilled="1" outline="0" subtotalTop="0" showAll="0" insertBlankRow="1" dataSourceSort="1" defaultAttributeDrillState="1">
      <items count="1">
        <item t="default"/>
      </items>
    </pivotField>
    <pivotField axis="axisPage" compact="0" allDrilled="1" outline="0" subtotalTop="0" showAll="0" insertBlankRow="1" dataSourceSort="1" defaultAttributeDrillState="1">
      <items count="1">
        <item t="default"/>
      </items>
    </pivotField>
    <pivotField axis="axisRow" compact="0" allDrilled="1" outline="0" subtotalTop="0" showAll="0" insertBlankRow="1" dataSourceSort="1" defaultAttributeDrillState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axis="axisRow" compact="0" allDrilled="1" outline="0" subtotalTop="0" showAll="0" insertBlankRow="1" dataSourceSort="1" defaultAttributeDrillState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outline="0" subtotalTop="0" showAll="0" insertBlankRow="1"/>
    <pivotField dataField="1" compact="0" outline="0" subtotalTop="0" showAll="0" insertBlankRow="1"/>
    <pivotField dataField="1" compact="0" outline="0" subtotalTop="0" showAll="0" insertBlankRow="1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3">
    <field x="1"/>
    <field x="9"/>
    <field x="8"/>
  </rowFields>
  <rowItems count="73">
    <i>
      <x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/>
    </i>
    <i t="blank" r="1">
      <x/>
    </i>
    <i r="1">
      <x v="1"/>
      <x v="8"/>
    </i>
    <i r="2">
      <x v="9"/>
    </i>
    <i r="2">
      <x v="10"/>
    </i>
    <i r="2">
      <x v="11"/>
    </i>
    <i t="default" r="1">
      <x v="1"/>
    </i>
    <i t="blank" r="1">
      <x v="1"/>
    </i>
    <i t="default">
      <x/>
    </i>
    <i t="blank">
      <x/>
    </i>
    <i>
      <x v="3"/>
      <x v="4"/>
      <x/>
    </i>
    <i r="2">
      <x v="18"/>
    </i>
    <i r="2">
      <x v="9"/>
    </i>
    <i r="2">
      <x v="19"/>
    </i>
    <i t="default" r="1">
      <x v="4"/>
    </i>
    <i t="blank" r="1">
      <x v="4"/>
    </i>
    <i r="1">
      <x v="5"/>
      <x v="20"/>
    </i>
    <i r="2">
      <x/>
    </i>
    <i r="2">
      <x v="19"/>
    </i>
    <i r="2">
      <x v="21"/>
    </i>
    <i r="2">
      <x v="22"/>
    </i>
    <i r="2">
      <x v="17"/>
    </i>
    <i r="2">
      <x v="6"/>
    </i>
    <i t="default" r="1">
      <x v="5"/>
    </i>
    <i t="blank" r="1">
      <x v="5"/>
    </i>
    <i t="default">
      <x v="3"/>
    </i>
    <i t="blank">
      <x v="3"/>
    </i>
    <i>
      <x v="2"/>
      <x v="3"/>
      <x v="13"/>
    </i>
    <i r="2">
      <x v="14"/>
    </i>
    <i r="2">
      <x v="15"/>
    </i>
    <i r="2">
      <x v="16"/>
    </i>
    <i r="2">
      <x v="3"/>
    </i>
    <i r="2">
      <x v="17"/>
    </i>
    <i r="2">
      <x v="7"/>
    </i>
    <i t="default" r="1">
      <x v="3"/>
    </i>
    <i t="blank" r="1">
      <x v="3"/>
    </i>
    <i t="default">
      <x v="2"/>
    </i>
    <i t="blank">
      <x v="2"/>
    </i>
    <i>
      <x v="5"/>
      <x v="7"/>
      <x v="23"/>
    </i>
    <i r="2">
      <x/>
    </i>
    <i r="2">
      <x v="5"/>
    </i>
    <i r="2">
      <x v="24"/>
    </i>
    <i r="2">
      <x v="11"/>
    </i>
    <i r="2">
      <x v="7"/>
    </i>
    <i t="default" r="1">
      <x v="7"/>
    </i>
    <i t="blank" r="1">
      <x v="7"/>
    </i>
    <i t="default">
      <x v="5"/>
    </i>
    <i t="blank">
      <x v="5"/>
    </i>
    <i>
      <x v="1"/>
      <x v="2"/>
      <x v="12"/>
    </i>
    <i r="2">
      <x v="9"/>
    </i>
    <i r="2">
      <x v="3"/>
    </i>
    <i r="2">
      <x v="5"/>
    </i>
    <i t="default" r="1">
      <x v="2"/>
    </i>
    <i t="blank" r="1">
      <x v="2"/>
    </i>
    <i t="default">
      <x v="1"/>
    </i>
    <i t="blank">
      <x v="1"/>
    </i>
    <i>
      <x v="4"/>
      <x v="6"/>
      <x v="15"/>
    </i>
    <i r="2">
      <x v="20"/>
    </i>
    <i r="2">
      <x v="2"/>
    </i>
    <i r="2">
      <x v="9"/>
    </i>
    <i t="default" r="1">
      <x v="6"/>
    </i>
    <i t="blank" r="1">
      <x v="6"/>
    </i>
    <i t="default">
      <x v="4"/>
    </i>
    <i t="blank"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5" hier="23" name="[Vendas].[Data_Ano].[All]" cap="All"/>
    <pageField fld="6" hier="22" name="[Vendas].[Data_Mês].[All]" cap="All"/>
    <pageField fld="7" hier="21" name="[Vendas].[Data_Dia].[All]" cap="All"/>
  </pageFields>
  <dataFields count="6">
    <dataField name="Total Vendido" fld="0" baseField="1" baseItem="0" numFmtId="166"/>
    <dataField name="Quantidade" fld="2" subtotal="count" baseField="0" baseItem="0"/>
    <dataField name="Faturamento" fld="10" baseField="8" baseItem="0" numFmtId="44"/>
    <dataField name="Comissão" fld="11" baseField="8" baseItem="0" numFmtId="10"/>
    <dataField name="Lucro" fld="12" subtotal="count" baseField="8" baseItem="0" numFmtId="166"/>
    <dataField name="% Lucro" fld="13" subtotal="count" showDataAs="percentOfTotal" baseField="8" baseItem="0" numFmtId="10">
      <extLst>
        <ext xmlns:x14="http://schemas.microsoft.com/office/spreadsheetml/2009/9/main" uri="{E15A36E0-9728-4e99-A89B-3F7291B0FE68}">
          <x14:dataField sourceField="12" uniqueName="[__Xl2].[Measures].[Lucro]"/>
        </ext>
      </extLst>
    </dataField>
  </dataField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Vendas].[KM].&amp;[0]"/>
      </members>
    </pivotHierarchy>
    <pivotHierarchy dragToData="1"/>
    <pivotHierarchy dragToData="1"/>
    <pivotHierarchy dragToData="1"/>
    <pivotHierarchy multipleItemSelectionAllowed="1" dragToData="1">
      <members count="1" level="1">
        <member name="[Vendas].[Estado].&amp;[SP]"/>
      </members>
    </pivotHierarchy>
    <pivotHierarchy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Row="0" dragToCol="0" dragToPage="0" dragToData="1" caption="Lucro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% Vendas"/>
    <pivotHierarchy dragToData="1" caption="Média de Valor"/>
    <pivotHierarchy dragToData="1" caption="Quantidade"/>
    <pivotHierarchy dragToData="1" caption="Faturamento"/>
    <pivotHierarchy dragToData="1"/>
    <pivotHierarchy dragToData="1" caption="Comissão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Medium2" showRowHeaders="1" showColHeaders="1" showRowStripes="0" showColStripes="0" showLastColumn="1"/>
  <rowHierarchiesUsage count="3">
    <rowHierarchyUsage hierarchyUsage="1"/>
    <rowHierarchyUsage hierarchyUsage="3"/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as]"/>
        <x15:activeTabTopLevelEntity name="[Lojas]"/>
      </x15:pivotTableUISettings>
    </ext>
    <ext xmlns:xpdl="http://schemas.microsoft.com/office/spreadsheetml/2016/pivotdefaultlayout" uri="{747A6164-185A-40DC-8AA5-F01512510D54}">
      <xpdl:pivotTableDefinition16 SubtotalsOnTopDefault="0" InsertBlankRowDefault="1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F08253-45FE-4647-A308-51E6651FDD92}" name="Lojas" displayName="Lojas" ref="A1:F9" totalsRowShown="0">
  <autoFilter ref="A1:F9" xr:uid="{00F08253-45FE-4647-A308-51E6651FDD92}"/>
  <tableColumns count="6">
    <tableColumn id="1" xr3:uid="{92583907-169C-4F12-A8D6-99C5B714EE14}" name="ID"/>
    <tableColumn id="2" xr3:uid="{EDD635AB-DF84-44F3-83F1-0A89EB42EE92}" name="Nome"/>
    <tableColumn id="3" xr3:uid="{09050281-338A-4C75-A6AD-70028E1CF2DD}" name="Estado"/>
    <tableColumn id="4" xr3:uid="{81EEADF4-F1F9-4ED0-9CE2-87D9E1F90596}" name="Cidade"/>
    <tableColumn id="5" xr3:uid="{268E062B-FB40-4F4D-845A-1EBCD25A40EE}" name="Porte"/>
    <tableColumn id="6" xr3:uid="{25570DDD-C329-4174-8D12-5A1760B288B7}" name="Grup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4E1944-D545-4637-807A-119B30FDA421}" name="Vendas" displayName="Vendas" ref="A1:N51" totalsRowShown="0">
  <autoFilter ref="A1:N51" xr:uid="{874E1944-D545-4637-807A-119B30FDA421}"/>
  <tableColumns count="14">
    <tableColumn id="1" xr3:uid="{9ABBABF2-DC96-4BCB-B45D-CE97437491D3}" name="ID"/>
    <tableColumn id="2" xr3:uid="{0BFD061A-FA8B-4C9B-AD5D-D60649E60127}" name="Data" dataDxfId="3"/>
    <tableColumn id="3" xr3:uid="{C0934F91-A7AE-438C-9CCD-A4E16FCD454A}" name="Hora" dataDxfId="2"/>
    <tableColumn id="4" xr3:uid="{D0C2AD21-B65A-41BB-AA17-5415CD0C8CE0}" name="Carro"/>
    <tableColumn id="5" xr3:uid="{0B3F6020-AAC8-4D41-AFB4-5194DB6AE404}" name="Cor"/>
    <tableColumn id="6" xr3:uid="{EC2A11F9-E771-4D9F-9FC0-C23CED5E07A5}" name="Ano"/>
    <tableColumn id="7" xr3:uid="{6833D21C-C016-44F9-A4EB-B2B7C2251F46}" name="Modelo"/>
    <tableColumn id="8" xr3:uid="{87A19890-FF0E-41FE-8ACC-956AE9DBD0A6}" name="KM"/>
    <tableColumn id="9" xr3:uid="{613EC29F-1DFA-4545-9544-368F98FD0E00}" name="Marca"/>
    <tableColumn id="10" xr3:uid="{93EFB527-9A52-4630-A910-25FD0F385DCE}" name="Valor" dataDxfId="1"/>
    <tableColumn id="11" xr3:uid="{24FFAF23-8631-4390-A283-B68F5BD9FC4F}" name="Loja"/>
    <tableColumn id="12" xr3:uid="{6456AE5C-6083-4A0E-A978-2F7B0782F5F9}" name="Estado">
      <calculatedColumnFormula>VLOOKUP(K2,Lojas!A$2:F$9,3)</calculatedColumnFormula>
    </tableColumn>
    <tableColumn id="13" xr3:uid="{B4C1CD26-612E-4199-B0A1-C1F247070333}" name="Cidade">
      <calculatedColumnFormula>VLOOKUP(K2,Lojas!A$2:F$9,4)</calculatedColumnFormula>
    </tableColumn>
    <tableColumn id="14" xr3:uid="{64CC5C75-2BBF-4020-B248-01AA673DB823}" name="Comissã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4D6E8-FCF0-40E2-B83B-FD0B0E89A5B0}">
  <dimension ref="A1:F9"/>
  <sheetViews>
    <sheetView workbookViewId="0">
      <selection activeCell="C21" sqref="C21:D21"/>
    </sheetView>
  </sheetViews>
  <sheetFormatPr defaultRowHeight="14.4" x14ac:dyDescent="0.3"/>
  <cols>
    <col min="2" max="2" width="18.109375" bestFit="1" customWidth="1"/>
    <col min="6" max="6" width="16" bestFit="1" customWidth="1"/>
  </cols>
  <sheetData>
    <row r="1" spans="1:6" x14ac:dyDescent="0.3">
      <c r="A1" t="s">
        <v>0</v>
      </c>
      <c r="B1" t="s">
        <v>50</v>
      </c>
      <c r="C1" t="s">
        <v>11</v>
      </c>
      <c r="D1" t="s">
        <v>12</v>
      </c>
      <c r="E1" t="s">
        <v>51</v>
      </c>
      <c r="F1" t="s">
        <v>52</v>
      </c>
    </row>
    <row r="2" spans="1:6" x14ac:dyDescent="0.3">
      <c r="A2">
        <v>1</v>
      </c>
      <c r="B2" t="s">
        <v>53</v>
      </c>
      <c r="C2" t="s">
        <v>37</v>
      </c>
      <c r="D2" t="s">
        <v>38</v>
      </c>
      <c r="E2" t="s">
        <v>54</v>
      </c>
      <c r="F2" t="s">
        <v>55</v>
      </c>
    </row>
    <row r="3" spans="1:6" x14ac:dyDescent="0.3">
      <c r="A3">
        <v>2</v>
      </c>
      <c r="B3" t="s">
        <v>56</v>
      </c>
      <c r="C3" t="s">
        <v>39</v>
      </c>
      <c r="D3" t="s">
        <v>40</v>
      </c>
      <c r="E3" t="s">
        <v>57</v>
      </c>
      <c r="F3" t="s">
        <v>58</v>
      </c>
    </row>
    <row r="4" spans="1:6" x14ac:dyDescent="0.3">
      <c r="A4">
        <v>3</v>
      </c>
      <c r="B4" t="s">
        <v>56</v>
      </c>
      <c r="C4" t="s">
        <v>37</v>
      </c>
      <c r="D4" t="s">
        <v>41</v>
      </c>
      <c r="E4" t="s">
        <v>57</v>
      </c>
      <c r="F4" t="s">
        <v>58</v>
      </c>
    </row>
    <row r="5" spans="1:6" x14ac:dyDescent="0.3">
      <c r="A5">
        <v>4</v>
      </c>
      <c r="B5" t="s">
        <v>59</v>
      </c>
      <c r="C5" t="s">
        <v>42</v>
      </c>
      <c r="D5" t="s">
        <v>43</v>
      </c>
      <c r="E5" t="s">
        <v>60</v>
      </c>
      <c r="F5" t="s">
        <v>61</v>
      </c>
    </row>
    <row r="6" spans="1:6" x14ac:dyDescent="0.3">
      <c r="A6">
        <v>5</v>
      </c>
      <c r="B6" t="s">
        <v>62</v>
      </c>
      <c r="C6" t="s">
        <v>37</v>
      </c>
      <c r="D6" t="s">
        <v>44</v>
      </c>
      <c r="E6" t="s">
        <v>54</v>
      </c>
      <c r="F6" t="s">
        <v>63</v>
      </c>
    </row>
    <row r="7" spans="1:6" x14ac:dyDescent="0.3">
      <c r="A7">
        <v>6</v>
      </c>
      <c r="B7" t="s">
        <v>53</v>
      </c>
      <c r="C7" t="s">
        <v>37</v>
      </c>
      <c r="D7" t="s">
        <v>45</v>
      </c>
      <c r="E7" t="s">
        <v>57</v>
      </c>
      <c r="F7" t="s">
        <v>55</v>
      </c>
    </row>
    <row r="8" spans="1:6" x14ac:dyDescent="0.3">
      <c r="A8">
        <v>7</v>
      </c>
      <c r="B8" t="s">
        <v>64</v>
      </c>
      <c r="C8" t="s">
        <v>46</v>
      </c>
      <c r="D8" t="s">
        <v>47</v>
      </c>
      <c r="E8" t="s">
        <v>57</v>
      </c>
      <c r="F8" t="s">
        <v>65</v>
      </c>
    </row>
    <row r="9" spans="1:6" x14ac:dyDescent="0.3">
      <c r="A9">
        <v>8</v>
      </c>
      <c r="B9" t="s">
        <v>66</v>
      </c>
      <c r="C9" t="s">
        <v>48</v>
      </c>
      <c r="D9" t="s">
        <v>49</v>
      </c>
      <c r="E9" t="s">
        <v>60</v>
      </c>
      <c r="F9" t="s">
        <v>67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4C906-332A-4983-8419-59EA31A6E666}">
  <dimension ref="A1:N51"/>
  <sheetViews>
    <sheetView workbookViewId="0">
      <selection activeCell="H13" sqref="H13"/>
    </sheetView>
  </sheetViews>
  <sheetFormatPr defaultRowHeight="14.4" x14ac:dyDescent="0.3"/>
  <cols>
    <col min="2" max="2" width="10.5546875" bestFit="1" customWidth="1"/>
    <col min="7" max="7" width="9.44140625" customWidth="1"/>
    <col min="10" max="10" width="13.5546875" bestFit="1" customWidth="1"/>
    <col min="14" max="14" width="10.8867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s="1">
        <v>43344</v>
      </c>
      <c r="C2" s="2">
        <v>0.53125</v>
      </c>
      <c r="D2" t="s">
        <v>14</v>
      </c>
      <c r="E2" t="s">
        <v>15</v>
      </c>
      <c r="F2">
        <v>2018</v>
      </c>
      <c r="G2">
        <v>2019</v>
      </c>
      <c r="H2">
        <v>0</v>
      </c>
      <c r="I2" t="s">
        <v>16</v>
      </c>
      <c r="J2" s="4">
        <v>45000</v>
      </c>
      <c r="K2">
        <v>1</v>
      </c>
      <c r="L2" t="str">
        <f>VLOOKUP(K2,Lojas!A$2:F$9,3)</f>
        <v>SP</v>
      </c>
      <c r="M2" t="str">
        <f>VLOOKUP(K2,Lojas!A$2:F$9,4)</f>
        <v>Campinas</v>
      </c>
      <c r="N2" s="3">
        <v>0.05</v>
      </c>
    </row>
    <row r="3" spans="1:14" x14ac:dyDescent="0.3">
      <c r="A3">
        <v>2</v>
      </c>
      <c r="B3" s="1">
        <v>43344</v>
      </c>
      <c r="C3" s="2">
        <v>0.6875</v>
      </c>
      <c r="D3" t="s">
        <v>17</v>
      </c>
      <c r="E3" t="s">
        <v>18</v>
      </c>
      <c r="F3">
        <v>2015</v>
      </c>
      <c r="G3">
        <v>2015</v>
      </c>
      <c r="H3">
        <v>12000</v>
      </c>
      <c r="I3" t="s">
        <v>16</v>
      </c>
      <c r="J3" s="4">
        <v>48000</v>
      </c>
      <c r="K3">
        <v>2</v>
      </c>
      <c r="L3" t="str">
        <f>VLOOKUP(K3,Lojas!A$2:F$9,3)</f>
        <v>RJ</v>
      </c>
      <c r="M3" t="str">
        <f>VLOOKUP(K3,Lojas!A$2:F$9,4)</f>
        <v>Rio de Janeiro</v>
      </c>
      <c r="N3" s="3">
        <v>0.02</v>
      </c>
    </row>
    <row r="4" spans="1:14" x14ac:dyDescent="0.3">
      <c r="A4">
        <v>3</v>
      </c>
      <c r="B4" s="1">
        <v>43344</v>
      </c>
      <c r="C4" s="2">
        <v>0.34166666666666662</v>
      </c>
      <c r="D4" t="s">
        <v>19</v>
      </c>
      <c r="E4" t="s">
        <v>15</v>
      </c>
      <c r="F4">
        <v>2010</v>
      </c>
      <c r="G4">
        <v>2011</v>
      </c>
      <c r="H4">
        <v>35000</v>
      </c>
      <c r="I4" t="s">
        <v>20</v>
      </c>
      <c r="J4" s="4">
        <v>30000</v>
      </c>
      <c r="K4">
        <v>3</v>
      </c>
      <c r="L4" t="str">
        <f>VLOOKUP(K4,Lojas!A$2:F$9,3)</f>
        <v>SP</v>
      </c>
      <c r="M4" t="str">
        <f>VLOOKUP(K4,Lojas!A$2:F$9,4)</f>
        <v>Sumaré</v>
      </c>
      <c r="N4" s="3">
        <v>0.03</v>
      </c>
    </row>
    <row r="5" spans="1:14" x14ac:dyDescent="0.3">
      <c r="A5">
        <v>4</v>
      </c>
      <c r="B5" s="1">
        <v>43345</v>
      </c>
      <c r="C5" s="2">
        <v>0.3263888888888889</v>
      </c>
      <c r="D5" t="s">
        <v>14</v>
      </c>
      <c r="E5" t="s">
        <v>21</v>
      </c>
      <c r="F5">
        <v>2010</v>
      </c>
      <c r="G5">
        <v>2011</v>
      </c>
      <c r="H5">
        <v>90000</v>
      </c>
      <c r="I5" t="s">
        <v>16</v>
      </c>
      <c r="J5" s="4">
        <v>20000</v>
      </c>
      <c r="K5">
        <v>4</v>
      </c>
      <c r="L5" t="str">
        <f>VLOOKUP(K5,Lojas!A$2:F$9,3)</f>
        <v>MG</v>
      </c>
      <c r="M5" t="str">
        <f>VLOOKUP(K5,Lojas!A$2:F$9,4)</f>
        <v>Belo Horizonte</v>
      </c>
      <c r="N5" s="3">
        <v>0.05</v>
      </c>
    </row>
    <row r="6" spans="1:14" x14ac:dyDescent="0.3">
      <c r="A6">
        <v>5</v>
      </c>
      <c r="B6" s="1">
        <v>43345</v>
      </c>
      <c r="C6" s="2">
        <v>0.38541666666666669</v>
      </c>
      <c r="D6" t="s">
        <v>22</v>
      </c>
      <c r="E6" t="s">
        <v>15</v>
      </c>
      <c r="F6">
        <v>2008</v>
      </c>
      <c r="G6">
        <v>2009</v>
      </c>
      <c r="H6">
        <v>120000</v>
      </c>
      <c r="I6" t="s">
        <v>23</v>
      </c>
      <c r="J6" s="4">
        <v>58000</v>
      </c>
      <c r="K6">
        <v>5</v>
      </c>
      <c r="L6" t="str">
        <f>VLOOKUP(K6,Lojas!A$2:F$9,3)</f>
        <v>SP</v>
      </c>
      <c r="M6" t="str">
        <f>VLOOKUP(K6,Lojas!A$2:F$9,4)</f>
        <v>Araraquara</v>
      </c>
      <c r="N6" s="3">
        <v>0.02</v>
      </c>
    </row>
    <row r="7" spans="1:14" x14ac:dyDescent="0.3">
      <c r="A7">
        <v>6</v>
      </c>
      <c r="B7" s="1">
        <v>43346</v>
      </c>
      <c r="C7" s="2">
        <v>0.375</v>
      </c>
      <c r="D7" t="s">
        <v>24</v>
      </c>
      <c r="E7" t="s">
        <v>25</v>
      </c>
      <c r="F7">
        <v>2010</v>
      </c>
      <c r="G7">
        <v>2010</v>
      </c>
      <c r="H7">
        <v>80000</v>
      </c>
      <c r="I7" t="s">
        <v>26</v>
      </c>
      <c r="J7" s="4">
        <v>40000</v>
      </c>
      <c r="K7">
        <v>1</v>
      </c>
      <c r="L7" t="str">
        <f>VLOOKUP(K7,Lojas!A$2:F$9,3)</f>
        <v>SP</v>
      </c>
      <c r="M7" t="str">
        <f>VLOOKUP(K7,Lojas!A$2:F$9,4)</f>
        <v>Campinas</v>
      </c>
      <c r="N7" s="3">
        <v>0.05</v>
      </c>
    </row>
    <row r="8" spans="1:14" x14ac:dyDescent="0.3">
      <c r="A8">
        <v>7</v>
      </c>
      <c r="B8" s="1">
        <v>43347</v>
      </c>
      <c r="C8" s="2">
        <v>0.43402777777777773</v>
      </c>
      <c r="D8" t="s">
        <v>27</v>
      </c>
      <c r="E8" t="s">
        <v>18</v>
      </c>
      <c r="F8">
        <v>2018</v>
      </c>
      <c r="G8">
        <v>2019</v>
      </c>
      <c r="H8">
        <v>0</v>
      </c>
      <c r="I8" t="s">
        <v>26</v>
      </c>
      <c r="J8" s="4">
        <v>90000</v>
      </c>
      <c r="K8">
        <v>6</v>
      </c>
      <c r="L8" t="str">
        <f>VLOOKUP(K8,Lojas!A$2:F$9,3)</f>
        <v>SP</v>
      </c>
      <c r="M8" t="str">
        <f>VLOOKUP(K8,Lojas!A$2:F$9,4)</f>
        <v>Hortolândia</v>
      </c>
      <c r="N8" s="3">
        <v>0.08</v>
      </c>
    </row>
    <row r="9" spans="1:14" x14ac:dyDescent="0.3">
      <c r="A9">
        <v>8</v>
      </c>
      <c r="B9" s="1">
        <v>43347</v>
      </c>
      <c r="C9" s="2">
        <v>0.55138888888888882</v>
      </c>
      <c r="D9" t="s">
        <v>28</v>
      </c>
      <c r="E9" t="s">
        <v>15</v>
      </c>
      <c r="F9">
        <v>2018</v>
      </c>
      <c r="G9">
        <v>2018</v>
      </c>
      <c r="H9">
        <v>0</v>
      </c>
      <c r="I9" t="s">
        <v>23</v>
      </c>
      <c r="J9" s="4">
        <v>40000</v>
      </c>
      <c r="K9">
        <v>2</v>
      </c>
      <c r="L9" t="str">
        <f>VLOOKUP(K9,Lojas!A$2:F$9,3)</f>
        <v>RJ</v>
      </c>
      <c r="M9" t="str">
        <f>VLOOKUP(K9,Lojas!A$2:F$9,4)</f>
        <v>Rio de Janeiro</v>
      </c>
      <c r="N9" s="3">
        <v>0.01</v>
      </c>
    </row>
    <row r="10" spans="1:14" x14ac:dyDescent="0.3">
      <c r="A10">
        <v>9</v>
      </c>
      <c r="B10" s="1">
        <v>43347</v>
      </c>
      <c r="C10" s="2">
        <v>0.4680555555555555</v>
      </c>
      <c r="D10" t="s">
        <v>17</v>
      </c>
      <c r="E10" t="s">
        <v>29</v>
      </c>
      <c r="F10">
        <v>2015</v>
      </c>
      <c r="G10">
        <v>2016</v>
      </c>
      <c r="H10">
        <v>45000</v>
      </c>
      <c r="I10" t="s">
        <v>16</v>
      </c>
      <c r="J10" s="4">
        <v>35000</v>
      </c>
      <c r="K10">
        <v>7</v>
      </c>
      <c r="L10" t="str">
        <f>VLOOKUP(K10,Lojas!A$2:F$9,3)</f>
        <v>AM</v>
      </c>
      <c r="M10" t="str">
        <f>VLOOKUP(K10,Lojas!A$2:F$9,4)</f>
        <v>Manaus</v>
      </c>
      <c r="N10" s="3">
        <v>7.0000000000000007E-2</v>
      </c>
    </row>
    <row r="11" spans="1:14" x14ac:dyDescent="0.3">
      <c r="A11">
        <v>10</v>
      </c>
      <c r="B11" s="1">
        <v>43348</v>
      </c>
      <c r="C11" s="2">
        <v>0.65277777777777779</v>
      </c>
      <c r="D11" t="s">
        <v>30</v>
      </c>
      <c r="E11" t="s">
        <v>29</v>
      </c>
      <c r="F11">
        <v>2008</v>
      </c>
      <c r="G11">
        <v>2008</v>
      </c>
      <c r="H11">
        <v>160000</v>
      </c>
      <c r="I11" t="s">
        <v>20</v>
      </c>
      <c r="J11" s="4">
        <v>16000</v>
      </c>
      <c r="K11">
        <v>8</v>
      </c>
      <c r="L11" t="str">
        <f>VLOOKUP(K11,Lojas!A$2:F$9,3)</f>
        <v>PB</v>
      </c>
      <c r="M11" t="str">
        <f>VLOOKUP(K11,Lojas!A$2:F$9,4)</f>
        <v>João Pessoa</v>
      </c>
      <c r="N11" s="3">
        <v>0.03</v>
      </c>
    </row>
    <row r="12" spans="1:14" x14ac:dyDescent="0.3">
      <c r="A12">
        <v>11</v>
      </c>
      <c r="B12" s="1">
        <v>43348</v>
      </c>
      <c r="C12" s="2">
        <v>0.34722222222222227</v>
      </c>
      <c r="D12" t="s">
        <v>17</v>
      </c>
      <c r="E12" t="s">
        <v>29</v>
      </c>
      <c r="F12">
        <v>2018</v>
      </c>
      <c r="G12">
        <v>2018</v>
      </c>
      <c r="H12">
        <v>0</v>
      </c>
      <c r="I12" t="s">
        <v>16</v>
      </c>
      <c r="J12" s="4">
        <v>47000</v>
      </c>
      <c r="K12">
        <v>1</v>
      </c>
      <c r="L12" t="str">
        <f>VLOOKUP(K12,Lojas!A$2:F$9,3)</f>
        <v>SP</v>
      </c>
      <c r="M12" t="str">
        <f>VLOOKUP(K12,Lojas!A$2:F$9,4)</f>
        <v>Campinas</v>
      </c>
      <c r="N12" s="3">
        <v>0.02</v>
      </c>
    </row>
    <row r="13" spans="1:14" x14ac:dyDescent="0.3">
      <c r="A13">
        <v>12</v>
      </c>
      <c r="B13" s="1">
        <v>43348</v>
      </c>
      <c r="C13" s="2">
        <v>0.35416666666666669</v>
      </c>
      <c r="D13" t="s">
        <v>31</v>
      </c>
      <c r="E13" t="s">
        <v>15</v>
      </c>
      <c r="F13">
        <v>2017</v>
      </c>
      <c r="G13">
        <v>2018</v>
      </c>
      <c r="H13">
        <v>35000</v>
      </c>
      <c r="I13" t="s">
        <v>26</v>
      </c>
      <c r="J13" s="4">
        <v>38000</v>
      </c>
      <c r="K13">
        <v>1</v>
      </c>
      <c r="L13" t="str">
        <f>VLOOKUP(K13,Lojas!A$2:F$9,3)</f>
        <v>SP</v>
      </c>
      <c r="M13" t="str">
        <f>VLOOKUP(K13,Lojas!A$2:F$9,4)</f>
        <v>Campinas</v>
      </c>
      <c r="N13" s="3">
        <v>0.01</v>
      </c>
    </row>
    <row r="14" spans="1:14" x14ac:dyDescent="0.3">
      <c r="A14">
        <v>13</v>
      </c>
      <c r="B14" s="1">
        <v>43349</v>
      </c>
      <c r="C14" s="2">
        <v>0.41666666666666669</v>
      </c>
      <c r="D14" t="s">
        <v>32</v>
      </c>
      <c r="E14" t="s">
        <v>18</v>
      </c>
      <c r="F14">
        <v>2014</v>
      </c>
      <c r="G14">
        <v>2015</v>
      </c>
      <c r="H14">
        <v>60000</v>
      </c>
      <c r="I14" t="s">
        <v>20</v>
      </c>
      <c r="J14" s="4">
        <v>33000</v>
      </c>
      <c r="K14">
        <v>2</v>
      </c>
      <c r="L14" t="str">
        <f>VLOOKUP(K14,Lojas!A$2:F$9,3)</f>
        <v>RJ</v>
      </c>
      <c r="M14" t="str">
        <f>VLOOKUP(K14,Lojas!A$2:F$9,4)</f>
        <v>Rio de Janeiro</v>
      </c>
      <c r="N14" s="3">
        <v>0.05</v>
      </c>
    </row>
    <row r="15" spans="1:14" x14ac:dyDescent="0.3">
      <c r="A15">
        <v>14</v>
      </c>
      <c r="B15" s="1">
        <v>43349</v>
      </c>
      <c r="C15" s="2">
        <v>0.66666666666666663</v>
      </c>
      <c r="D15" t="s">
        <v>33</v>
      </c>
      <c r="E15" t="s">
        <v>21</v>
      </c>
      <c r="F15">
        <v>2013</v>
      </c>
      <c r="G15">
        <v>2014</v>
      </c>
      <c r="H15">
        <v>40000</v>
      </c>
      <c r="I15" t="s">
        <v>26</v>
      </c>
      <c r="J15" s="4">
        <v>28000</v>
      </c>
      <c r="K15">
        <v>3</v>
      </c>
      <c r="L15" t="str">
        <f>VLOOKUP(K15,Lojas!A$2:F$9,3)</f>
        <v>SP</v>
      </c>
      <c r="M15" t="str">
        <f>VLOOKUP(K15,Lojas!A$2:F$9,4)</f>
        <v>Sumaré</v>
      </c>
      <c r="N15" s="3">
        <v>0.06</v>
      </c>
    </row>
    <row r="16" spans="1:14" x14ac:dyDescent="0.3">
      <c r="A16">
        <v>15</v>
      </c>
      <c r="B16" s="1">
        <v>43350</v>
      </c>
      <c r="C16" s="2">
        <v>0.68402777777777779</v>
      </c>
      <c r="D16" t="s">
        <v>34</v>
      </c>
      <c r="E16" t="s">
        <v>15</v>
      </c>
      <c r="F16">
        <v>2019</v>
      </c>
      <c r="G16">
        <v>2019</v>
      </c>
      <c r="H16">
        <v>0</v>
      </c>
      <c r="I16" t="s">
        <v>26</v>
      </c>
      <c r="J16" s="4">
        <v>38000</v>
      </c>
      <c r="K16">
        <v>3</v>
      </c>
      <c r="L16" t="str">
        <f>VLOOKUP(K16,Lojas!A$2:F$9,3)</f>
        <v>SP</v>
      </c>
      <c r="M16" t="str">
        <f>VLOOKUP(K16,Lojas!A$2:F$9,4)</f>
        <v>Sumaré</v>
      </c>
      <c r="N16" s="3">
        <v>0.06</v>
      </c>
    </row>
    <row r="17" spans="1:14" x14ac:dyDescent="0.3">
      <c r="A17">
        <v>16</v>
      </c>
      <c r="B17" s="1">
        <v>43350</v>
      </c>
      <c r="C17" s="2">
        <v>0.56944444444444442</v>
      </c>
      <c r="D17" t="s">
        <v>35</v>
      </c>
      <c r="E17" t="s">
        <v>29</v>
      </c>
      <c r="F17">
        <v>2018</v>
      </c>
      <c r="G17">
        <v>2018</v>
      </c>
      <c r="H17">
        <v>5000</v>
      </c>
      <c r="I17" t="s">
        <v>16</v>
      </c>
      <c r="J17" s="4">
        <v>40000</v>
      </c>
      <c r="K17">
        <v>1</v>
      </c>
      <c r="L17" t="str">
        <f>VLOOKUP(K17,Lojas!A$2:F$9,3)</f>
        <v>SP</v>
      </c>
      <c r="M17" t="str">
        <f>VLOOKUP(K17,Lojas!A$2:F$9,4)</f>
        <v>Campinas</v>
      </c>
      <c r="N17" s="3">
        <v>7.0000000000000007E-2</v>
      </c>
    </row>
    <row r="18" spans="1:14" x14ac:dyDescent="0.3">
      <c r="A18">
        <v>17</v>
      </c>
      <c r="B18" s="1">
        <v>43350</v>
      </c>
      <c r="C18" s="2">
        <v>0.46875</v>
      </c>
      <c r="D18" t="s">
        <v>36</v>
      </c>
      <c r="E18" t="s">
        <v>18</v>
      </c>
      <c r="F18">
        <v>2017</v>
      </c>
      <c r="G18">
        <v>2017</v>
      </c>
      <c r="H18">
        <v>15000</v>
      </c>
      <c r="I18" t="s">
        <v>20</v>
      </c>
      <c r="J18" s="4">
        <v>85000</v>
      </c>
      <c r="K18">
        <v>8</v>
      </c>
      <c r="L18" t="str">
        <f>VLOOKUP(K18,Lojas!A$2:F$9,3)</f>
        <v>PB</v>
      </c>
      <c r="M18" t="str">
        <f>VLOOKUP(K18,Lojas!A$2:F$9,4)</f>
        <v>João Pessoa</v>
      </c>
      <c r="N18" s="3">
        <v>0.04</v>
      </c>
    </row>
    <row r="19" spans="1:14" x14ac:dyDescent="0.3">
      <c r="A19">
        <v>18</v>
      </c>
      <c r="B19" s="1">
        <v>43351</v>
      </c>
      <c r="C19" s="2">
        <v>0.50694444444444442</v>
      </c>
      <c r="D19" t="s">
        <v>31</v>
      </c>
      <c r="E19" t="s">
        <v>21</v>
      </c>
      <c r="F19">
        <v>2018</v>
      </c>
      <c r="G19">
        <v>2019</v>
      </c>
      <c r="H19">
        <v>0</v>
      </c>
      <c r="I19" t="s">
        <v>26</v>
      </c>
      <c r="J19" s="4">
        <v>30000</v>
      </c>
      <c r="K19">
        <v>8</v>
      </c>
      <c r="L19" t="str">
        <f>VLOOKUP(K19,Lojas!A$2:F$9,3)</f>
        <v>PB</v>
      </c>
      <c r="M19" t="str">
        <f>VLOOKUP(K19,Lojas!A$2:F$9,4)</f>
        <v>João Pessoa</v>
      </c>
      <c r="N19" s="3">
        <v>0.04</v>
      </c>
    </row>
    <row r="20" spans="1:14" x14ac:dyDescent="0.3">
      <c r="A20">
        <v>19</v>
      </c>
      <c r="B20" s="1">
        <v>43351</v>
      </c>
      <c r="C20" s="2">
        <v>0.625</v>
      </c>
      <c r="D20" t="s">
        <v>22</v>
      </c>
      <c r="E20" t="s">
        <v>15</v>
      </c>
      <c r="F20">
        <v>2019</v>
      </c>
      <c r="G20">
        <v>2019</v>
      </c>
      <c r="H20">
        <v>0</v>
      </c>
      <c r="I20" t="s">
        <v>23</v>
      </c>
      <c r="J20" s="4">
        <v>125000</v>
      </c>
      <c r="K20">
        <v>7</v>
      </c>
      <c r="L20" t="str">
        <f>VLOOKUP(K20,Lojas!A$2:F$9,3)</f>
        <v>AM</v>
      </c>
      <c r="M20" t="str">
        <f>VLOOKUP(K20,Lojas!A$2:F$9,4)</f>
        <v>Manaus</v>
      </c>
      <c r="N20" s="3">
        <v>0.05</v>
      </c>
    </row>
    <row r="21" spans="1:14" x14ac:dyDescent="0.3">
      <c r="A21">
        <v>20</v>
      </c>
      <c r="B21" s="1">
        <v>43351</v>
      </c>
      <c r="C21" s="2">
        <v>0.74652777777777779</v>
      </c>
      <c r="D21" t="s">
        <v>28</v>
      </c>
      <c r="E21" t="s">
        <v>15</v>
      </c>
      <c r="F21">
        <v>2019</v>
      </c>
      <c r="G21">
        <v>2019</v>
      </c>
      <c r="H21">
        <v>0</v>
      </c>
      <c r="I21" t="s">
        <v>23</v>
      </c>
      <c r="J21" s="4">
        <v>35000</v>
      </c>
      <c r="K21">
        <v>6</v>
      </c>
      <c r="L21" t="str">
        <f>VLOOKUP(K21,Lojas!A$2:F$9,3)</f>
        <v>SP</v>
      </c>
      <c r="M21" t="str">
        <f>VLOOKUP(K21,Lojas!A$2:F$9,4)</f>
        <v>Hortolândia</v>
      </c>
      <c r="N21" s="3">
        <v>0.02</v>
      </c>
    </row>
    <row r="22" spans="1:14" x14ac:dyDescent="0.3">
      <c r="A22">
        <v>21</v>
      </c>
      <c r="B22" s="1">
        <v>43352</v>
      </c>
      <c r="C22" s="2">
        <v>0.625</v>
      </c>
      <c r="D22" t="s">
        <v>28</v>
      </c>
      <c r="E22" t="s">
        <v>29</v>
      </c>
      <c r="F22">
        <v>2018</v>
      </c>
      <c r="G22">
        <v>2019</v>
      </c>
      <c r="H22">
        <v>5000</v>
      </c>
      <c r="I22" t="s">
        <v>23</v>
      </c>
      <c r="J22" s="4">
        <v>37000</v>
      </c>
      <c r="K22">
        <v>5</v>
      </c>
      <c r="L22" t="str">
        <f>VLOOKUP(K22,Lojas!A$2:F$9,3)</f>
        <v>SP</v>
      </c>
      <c r="M22" t="str">
        <f>VLOOKUP(K22,Lojas!A$2:F$9,4)</f>
        <v>Araraquara</v>
      </c>
      <c r="N22" s="3">
        <v>0.04</v>
      </c>
    </row>
    <row r="23" spans="1:14" x14ac:dyDescent="0.3">
      <c r="A23">
        <v>22</v>
      </c>
      <c r="B23" s="1">
        <v>43352</v>
      </c>
      <c r="C23" s="2">
        <v>0.66666666666666663</v>
      </c>
      <c r="D23" t="s">
        <v>31</v>
      </c>
      <c r="E23" t="s">
        <v>18</v>
      </c>
      <c r="F23">
        <v>2018</v>
      </c>
      <c r="G23">
        <v>2018</v>
      </c>
      <c r="H23">
        <v>10000</v>
      </c>
      <c r="I23" t="s">
        <v>26</v>
      </c>
      <c r="J23" s="4">
        <v>31000</v>
      </c>
      <c r="K23">
        <v>5</v>
      </c>
      <c r="L23" t="str">
        <f>VLOOKUP(K23,Lojas!A$2:F$9,3)</f>
        <v>SP</v>
      </c>
      <c r="M23" t="str">
        <f>VLOOKUP(K23,Lojas!A$2:F$9,4)</f>
        <v>Araraquara</v>
      </c>
      <c r="N23" s="3">
        <v>0.01</v>
      </c>
    </row>
    <row r="24" spans="1:14" x14ac:dyDescent="0.3">
      <c r="A24">
        <v>23</v>
      </c>
      <c r="B24" s="1">
        <v>43353</v>
      </c>
      <c r="C24" s="2">
        <v>0.54166666666666663</v>
      </c>
      <c r="D24" t="s">
        <v>14</v>
      </c>
      <c r="E24" t="s">
        <v>21</v>
      </c>
      <c r="F24">
        <v>2014</v>
      </c>
      <c r="G24">
        <v>2014</v>
      </c>
      <c r="H24">
        <v>60000</v>
      </c>
      <c r="I24" t="s">
        <v>16</v>
      </c>
      <c r="J24" s="4">
        <v>30000</v>
      </c>
      <c r="K24">
        <v>1</v>
      </c>
      <c r="L24" t="str">
        <f>VLOOKUP(K24,Lojas!A$2:F$9,3)</f>
        <v>SP</v>
      </c>
      <c r="M24" t="str">
        <f>VLOOKUP(K24,Lojas!A$2:F$9,4)</f>
        <v>Campinas</v>
      </c>
      <c r="N24" s="3">
        <v>0.03</v>
      </c>
    </row>
    <row r="25" spans="1:14" x14ac:dyDescent="0.3">
      <c r="A25">
        <v>24</v>
      </c>
      <c r="B25" s="1">
        <v>43353</v>
      </c>
      <c r="C25" s="2">
        <v>0.45833333333333331</v>
      </c>
      <c r="D25" t="s">
        <v>14</v>
      </c>
      <c r="E25" t="s">
        <v>18</v>
      </c>
      <c r="F25">
        <v>2015</v>
      </c>
      <c r="G25">
        <v>2016</v>
      </c>
      <c r="H25">
        <v>25000</v>
      </c>
      <c r="I25" t="s">
        <v>16</v>
      </c>
      <c r="J25" s="4">
        <v>35000</v>
      </c>
      <c r="K25">
        <v>1</v>
      </c>
      <c r="L25" t="str">
        <f>VLOOKUP(K25,Lojas!A$2:F$9,3)</f>
        <v>SP</v>
      </c>
      <c r="M25" t="str">
        <f>VLOOKUP(K25,Lojas!A$2:F$9,4)</f>
        <v>Campinas</v>
      </c>
      <c r="N25" s="3">
        <v>0.05</v>
      </c>
    </row>
    <row r="26" spans="1:14" x14ac:dyDescent="0.3">
      <c r="A26">
        <v>25</v>
      </c>
      <c r="B26" s="1">
        <v>43353</v>
      </c>
      <c r="C26" s="2">
        <v>0.64583333333333337</v>
      </c>
      <c r="D26" t="s">
        <v>75</v>
      </c>
      <c r="E26" t="s">
        <v>29</v>
      </c>
      <c r="F26">
        <v>2010</v>
      </c>
      <c r="G26">
        <v>2010</v>
      </c>
      <c r="H26">
        <v>80000</v>
      </c>
      <c r="I26" t="s">
        <v>26</v>
      </c>
      <c r="J26" s="4">
        <v>22000</v>
      </c>
      <c r="K26">
        <v>3</v>
      </c>
      <c r="L26" t="str">
        <f>VLOOKUP(K26,Lojas!A$2:F$9,3)</f>
        <v>SP</v>
      </c>
      <c r="M26" t="str">
        <f>VLOOKUP(K26,Lojas!A$2:F$9,4)</f>
        <v>Sumaré</v>
      </c>
      <c r="N26" s="3">
        <v>0.02</v>
      </c>
    </row>
    <row r="27" spans="1:14" x14ac:dyDescent="0.3">
      <c r="A27">
        <v>26</v>
      </c>
      <c r="B27" s="1">
        <v>43353</v>
      </c>
      <c r="C27" s="2">
        <v>0.61805555555555558</v>
      </c>
      <c r="D27" t="s">
        <v>76</v>
      </c>
      <c r="E27" t="s">
        <v>15</v>
      </c>
      <c r="F27">
        <v>2013</v>
      </c>
      <c r="G27">
        <v>2013</v>
      </c>
      <c r="H27">
        <v>75000</v>
      </c>
      <c r="I27" t="s">
        <v>20</v>
      </c>
      <c r="J27" s="4">
        <v>55000</v>
      </c>
      <c r="K27">
        <v>7</v>
      </c>
      <c r="L27" t="str">
        <f>VLOOKUP(K27,Lojas!A$2:F$9,3)</f>
        <v>AM</v>
      </c>
      <c r="M27" t="str">
        <f>VLOOKUP(K27,Lojas!A$2:F$9,4)</f>
        <v>Manaus</v>
      </c>
      <c r="N27" s="3">
        <v>0.06</v>
      </c>
    </row>
    <row r="28" spans="1:14" x14ac:dyDescent="0.3">
      <c r="A28">
        <v>27</v>
      </c>
      <c r="B28" s="1">
        <v>43353</v>
      </c>
      <c r="C28" s="2">
        <v>0.73888888888888893</v>
      </c>
      <c r="D28" t="s">
        <v>77</v>
      </c>
      <c r="E28" t="s">
        <v>29</v>
      </c>
      <c r="F28">
        <v>2015</v>
      </c>
      <c r="G28">
        <v>2015</v>
      </c>
      <c r="H28">
        <v>30000</v>
      </c>
      <c r="I28" t="s">
        <v>16</v>
      </c>
      <c r="J28" s="4">
        <v>75000</v>
      </c>
      <c r="K28">
        <v>8</v>
      </c>
      <c r="L28" t="str">
        <f>VLOOKUP(K28,Lojas!A$2:F$9,3)</f>
        <v>PB</v>
      </c>
      <c r="M28" t="str">
        <f>VLOOKUP(K28,Lojas!A$2:F$9,4)</f>
        <v>João Pessoa</v>
      </c>
      <c r="N28" s="3">
        <v>0.08</v>
      </c>
    </row>
    <row r="29" spans="1:14" x14ac:dyDescent="0.3">
      <c r="A29">
        <v>28</v>
      </c>
      <c r="B29" s="1">
        <v>43375</v>
      </c>
      <c r="C29" s="2">
        <v>0.59027777777777779</v>
      </c>
      <c r="D29" t="s">
        <v>14</v>
      </c>
      <c r="E29" t="s">
        <v>21</v>
      </c>
      <c r="F29">
        <v>2019</v>
      </c>
      <c r="G29">
        <v>2019</v>
      </c>
      <c r="H29">
        <v>0</v>
      </c>
      <c r="I29" t="s">
        <v>16</v>
      </c>
      <c r="J29" s="4">
        <v>43000</v>
      </c>
      <c r="K29">
        <v>1</v>
      </c>
      <c r="L29" t="str">
        <f>VLOOKUP(K29,Lojas!A$2:F$9,3)</f>
        <v>SP</v>
      </c>
      <c r="M29" t="str">
        <f>VLOOKUP(K29,Lojas!A$2:F$9,4)</f>
        <v>Campinas</v>
      </c>
      <c r="N29" s="3">
        <v>0.02</v>
      </c>
    </row>
    <row r="30" spans="1:14" x14ac:dyDescent="0.3">
      <c r="A30">
        <v>29</v>
      </c>
      <c r="B30" s="1">
        <v>43375</v>
      </c>
      <c r="C30" s="2">
        <v>0.70138888888888884</v>
      </c>
      <c r="D30" t="s">
        <v>75</v>
      </c>
      <c r="E30" t="s">
        <v>15</v>
      </c>
      <c r="F30">
        <v>2010</v>
      </c>
      <c r="G30">
        <v>2010</v>
      </c>
      <c r="H30">
        <v>80000</v>
      </c>
      <c r="I30" t="s">
        <v>26</v>
      </c>
      <c r="J30" s="4">
        <v>18000</v>
      </c>
      <c r="K30">
        <v>1</v>
      </c>
      <c r="L30" t="str">
        <f>VLOOKUP(K30,Lojas!A$2:F$9,3)</f>
        <v>SP</v>
      </c>
      <c r="M30" t="str">
        <f>VLOOKUP(K30,Lojas!A$2:F$9,4)</f>
        <v>Campinas</v>
      </c>
      <c r="N30" s="3">
        <v>0.03</v>
      </c>
    </row>
    <row r="31" spans="1:14" x14ac:dyDescent="0.3">
      <c r="A31">
        <v>30</v>
      </c>
      <c r="B31" s="1">
        <v>43376</v>
      </c>
      <c r="C31" s="2">
        <v>0.70833333333333337</v>
      </c>
      <c r="D31" t="s">
        <v>83</v>
      </c>
      <c r="E31" t="s">
        <v>29</v>
      </c>
      <c r="F31">
        <v>2012</v>
      </c>
      <c r="G31">
        <v>2013</v>
      </c>
      <c r="H31">
        <v>45000</v>
      </c>
      <c r="I31" t="s">
        <v>16</v>
      </c>
      <c r="J31" s="4">
        <v>45000</v>
      </c>
      <c r="K31">
        <v>2</v>
      </c>
      <c r="L31" t="str">
        <f>VLOOKUP(K31,Lojas!A$2:F$9,3)</f>
        <v>RJ</v>
      </c>
      <c r="M31" t="str">
        <f>VLOOKUP(K31,Lojas!A$2:F$9,4)</f>
        <v>Rio de Janeiro</v>
      </c>
      <c r="N31" s="3">
        <v>0.03</v>
      </c>
    </row>
    <row r="32" spans="1:14" x14ac:dyDescent="0.3">
      <c r="A32">
        <v>31</v>
      </c>
      <c r="B32" s="1">
        <v>43377</v>
      </c>
      <c r="C32" s="2">
        <v>0.34375</v>
      </c>
      <c r="D32" t="s">
        <v>32</v>
      </c>
      <c r="E32" t="s">
        <v>15</v>
      </c>
      <c r="F32">
        <v>2019</v>
      </c>
      <c r="G32">
        <v>2019</v>
      </c>
      <c r="H32">
        <v>0</v>
      </c>
      <c r="I32" t="s">
        <v>20</v>
      </c>
      <c r="J32" s="4">
        <v>39000</v>
      </c>
      <c r="K32">
        <v>3</v>
      </c>
      <c r="L32" t="str">
        <f>VLOOKUP(K32,Lojas!A$2:F$9,3)</f>
        <v>SP</v>
      </c>
      <c r="M32" t="str">
        <f>VLOOKUP(K32,Lojas!A$2:F$9,4)</f>
        <v>Sumaré</v>
      </c>
      <c r="N32" s="3">
        <v>0.04</v>
      </c>
    </row>
    <row r="33" spans="1:14" x14ac:dyDescent="0.3">
      <c r="A33">
        <v>32</v>
      </c>
      <c r="B33" s="1">
        <v>43388</v>
      </c>
      <c r="C33" s="2">
        <v>0.38194444444444442</v>
      </c>
      <c r="D33" t="s">
        <v>84</v>
      </c>
      <c r="E33" t="s">
        <v>21</v>
      </c>
      <c r="F33">
        <v>2011</v>
      </c>
      <c r="G33">
        <v>2011</v>
      </c>
      <c r="H33">
        <v>25000</v>
      </c>
      <c r="I33" t="s">
        <v>26</v>
      </c>
      <c r="J33" s="4">
        <v>34000</v>
      </c>
      <c r="K33">
        <v>5</v>
      </c>
      <c r="L33" t="str">
        <f>VLOOKUP(K33,Lojas!A$2:F$9,3)</f>
        <v>SP</v>
      </c>
      <c r="M33" t="str">
        <f>VLOOKUP(K33,Lojas!A$2:F$9,4)</f>
        <v>Araraquara</v>
      </c>
      <c r="N33" s="3">
        <v>0.05</v>
      </c>
    </row>
    <row r="34" spans="1:14" x14ac:dyDescent="0.3">
      <c r="A34">
        <v>33</v>
      </c>
      <c r="B34" s="1">
        <v>43393</v>
      </c>
      <c r="C34" s="2">
        <v>0.52777777777777779</v>
      </c>
      <c r="D34" t="s">
        <v>36</v>
      </c>
      <c r="E34" t="s">
        <v>29</v>
      </c>
      <c r="F34">
        <v>2019</v>
      </c>
      <c r="G34">
        <v>2019</v>
      </c>
      <c r="H34">
        <v>0</v>
      </c>
      <c r="I34" t="s">
        <v>20</v>
      </c>
      <c r="J34" s="4">
        <v>80000</v>
      </c>
      <c r="K34">
        <v>4</v>
      </c>
      <c r="L34" t="str">
        <f>VLOOKUP(K34,Lojas!A$2:F$9,3)</f>
        <v>MG</v>
      </c>
      <c r="M34" t="str">
        <f>VLOOKUP(K34,Lojas!A$2:F$9,4)</f>
        <v>Belo Horizonte</v>
      </c>
      <c r="N34" s="3">
        <v>0.05</v>
      </c>
    </row>
    <row r="35" spans="1:14" x14ac:dyDescent="0.3">
      <c r="A35">
        <v>34</v>
      </c>
      <c r="B35" s="1">
        <v>43409</v>
      </c>
      <c r="C35" s="2">
        <v>0.56597222222222221</v>
      </c>
      <c r="D35" t="s">
        <v>85</v>
      </c>
      <c r="E35" t="s">
        <v>18</v>
      </c>
      <c r="F35">
        <v>2014</v>
      </c>
      <c r="G35">
        <v>2015</v>
      </c>
      <c r="H35">
        <v>25000</v>
      </c>
      <c r="I35" t="s">
        <v>20</v>
      </c>
      <c r="J35" s="4">
        <v>50000</v>
      </c>
      <c r="K35">
        <v>6</v>
      </c>
      <c r="L35" t="str">
        <f>VLOOKUP(K35,Lojas!A$2:F$9,3)</f>
        <v>SP</v>
      </c>
      <c r="M35" t="str">
        <f>VLOOKUP(K35,Lojas!A$2:F$9,4)</f>
        <v>Hortolândia</v>
      </c>
      <c r="N35" s="3">
        <v>7.0000000000000007E-2</v>
      </c>
    </row>
    <row r="36" spans="1:14" x14ac:dyDescent="0.3">
      <c r="A36">
        <v>35</v>
      </c>
      <c r="B36" s="1">
        <v>43411</v>
      </c>
      <c r="C36" s="2">
        <v>0.61111111111111105</v>
      </c>
      <c r="D36" t="s">
        <v>86</v>
      </c>
      <c r="E36" t="s">
        <v>29</v>
      </c>
      <c r="F36">
        <v>2019</v>
      </c>
      <c r="G36">
        <v>2019</v>
      </c>
      <c r="H36">
        <v>0</v>
      </c>
      <c r="I36" t="s">
        <v>20</v>
      </c>
      <c r="J36" s="4">
        <v>65000</v>
      </c>
      <c r="K36">
        <v>6</v>
      </c>
      <c r="L36" t="str">
        <f>VLOOKUP(K36,Lojas!A$2:F$9,3)</f>
        <v>SP</v>
      </c>
      <c r="M36" t="str">
        <f>VLOOKUP(K36,Lojas!A$2:F$9,4)</f>
        <v>Hortolândia</v>
      </c>
      <c r="N36" s="3">
        <v>0.04</v>
      </c>
    </row>
    <row r="37" spans="1:14" x14ac:dyDescent="0.3">
      <c r="A37">
        <v>36</v>
      </c>
      <c r="B37" s="1">
        <v>43411</v>
      </c>
      <c r="C37" s="2">
        <v>0.62152777777777779</v>
      </c>
      <c r="D37" t="s">
        <v>87</v>
      </c>
      <c r="E37" t="s">
        <v>29</v>
      </c>
      <c r="F37">
        <v>2018</v>
      </c>
      <c r="G37">
        <v>2019</v>
      </c>
      <c r="H37">
        <v>0</v>
      </c>
      <c r="I37" t="s">
        <v>16</v>
      </c>
      <c r="J37" s="4">
        <v>45000</v>
      </c>
      <c r="K37">
        <v>7</v>
      </c>
      <c r="L37" t="str">
        <f>VLOOKUP(K37,Lojas!A$2:F$9,3)</f>
        <v>AM</v>
      </c>
      <c r="M37" t="str">
        <f>VLOOKUP(K37,Lojas!A$2:F$9,4)</f>
        <v>Manaus</v>
      </c>
      <c r="N37" s="3">
        <v>0.02</v>
      </c>
    </row>
    <row r="38" spans="1:14" x14ac:dyDescent="0.3">
      <c r="A38">
        <v>37</v>
      </c>
      <c r="B38" s="1">
        <v>43411</v>
      </c>
      <c r="C38" s="2">
        <v>0.75347222222222221</v>
      </c>
      <c r="D38" t="s">
        <v>87</v>
      </c>
      <c r="E38" t="s">
        <v>21</v>
      </c>
      <c r="F38">
        <v>2012</v>
      </c>
      <c r="G38">
        <v>2013</v>
      </c>
      <c r="H38">
        <v>60000</v>
      </c>
      <c r="I38" t="s">
        <v>16</v>
      </c>
      <c r="J38" s="4">
        <v>29000</v>
      </c>
      <c r="K38">
        <v>8</v>
      </c>
      <c r="L38" t="str">
        <f>VLOOKUP(K38,Lojas!A$2:F$9,3)</f>
        <v>PB</v>
      </c>
      <c r="M38" t="str">
        <f>VLOOKUP(K38,Lojas!A$2:F$9,4)</f>
        <v>João Pessoa</v>
      </c>
      <c r="N38" s="3">
        <v>0.01</v>
      </c>
    </row>
    <row r="39" spans="1:14" x14ac:dyDescent="0.3">
      <c r="A39">
        <v>38</v>
      </c>
      <c r="B39" s="1">
        <v>43411</v>
      </c>
      <c r="C39" s="2">
        <v>0.62847222222222221</v>
      </c>
      <c r="D39" t="s">
        <v>88</v>
      </c>
      <c r="E39" t="s">
        <v>29</v>
      </c>
      <c r="F39">
        <v>2015</v>
      </c>
      <c r="G39">
        <v>2015</v>
      </c>
      <c r="H39">
        <v>30000</v>
      </c>
      <c r="I39" t="s">
        <v>23</v>
      </c>
      <c r="J39" s="4">
        <v>38000</v>
      </c>
      <c r="K39">
        <v>8</v>
      </c>
      <c r="L39" t="str">
        <f>VLOOKUP(K39,Lojas!A$2:F$9,3)</f>
        <v>PB</v>
      </c>
      <c r="M39" t="str">
        <f>VLOOKUP(K39,Lojas!A$2:F$9,4)</f>
        <v>João Pessoa</v>
      </c>
      <c r="N39" s="3">
        <v>0.02</v>
      </c>
    </row>
    <row r="40" spans="1:14" x14ac:dyDescent="0.3">
      <c r="A40">
        <v>39</v>
      </c>
      <c r="B40" s="1">
        <v>43411</v>
      </c>
      <c r="C40" s="2">
        <v>0.46527777777777773</v>
      </c>
      <c r="D40" t="s">
        <v>88</v>
      </c>
      <c r="E40" t="s">
        <v>21</v>
      </c>
      <c r="F40">
        <v>2018</v>
      </c>
      <c r="G40">
        <v>2019</v>
      </c>
      <c r="H40">
        <v>0</v>
      </c>
      <c r="I40" t="s">
        <v>23</v>
      </c>
      <c r="J40" s="4">
        <v>48000</v>
      </c>
      <c r="K40">
        <v>8</v>
      </c>
      <c r="L40" t="str">
        <f>VLOOKUP(K40,Lojas!A$2:F$9,3)</f>
        <v>PB</v>
      </c>
      <c r="M40" t="str">
        <f>VLOOKUP(K40,Lojas!A$2:F$9,4)</f>
        <v>João Pessoa</v>
      </c>
      <c r="N40" s="3">
        <v>0.04</v>
      </c>
    </row>
    <row r="41" spans="1:14" x14ac:dyDescent="0.3">
      <c r="A41">
        <v>40</v>
      </c>
      <c r="B41" s="1">
        <v>43411</v>
      </c>
      <c r="C41" s="2">
        <v>0.45833333333333331</v>
      </c>
      <c r="D41" t="s">
        <v>89</v>
      </c>
      <c r="E41" t="s">
        <v>29</v>
      </c>
      <c r="F41">
        <v>2016</v>
      </c>
      <c r="G41">
        <v>2017</v>
      </c>
      <c r="H41">
        <v>20000</v>
      </c>
      <c r="I41" t="s">
        <v>23</v>
      </c>
      <c r="J41" s="4">
        <v>59000</v>
      </c>
      <c r="K41">
        <v>7</v>
      </c>
      <c r="L41" t="str">
        <f>VLOOKUP(K41,Lojas!A$2:F$9,3)</f>
        <v>AM</v>
      </c>
      <c r="M41" t="str">
        <f>VLOOKUP(K41,Lojas!A$2:F$9,4)</f>
        <v>Manaus</v>
      </c>
      <c r="N41" s="3">
        <v>0.05</v>
      </c>
    </row>
    <row r="42" spans="1:14" x14ac:dyDescent="0.3">
      <c r="A42">
        <v>41</v>
      </c>
      <c r="B42" s="1">
        <v>43449</v>
      </c>
      <c r="C42" s="2">
        <v>0.43402777777777773</v>
      </c>
      <c r="D42" t="s">
        <v>28</v>
      </c>
      <c r="E42" t="s">
        <v>29</v>
      </c>
      <c r="F42">
        <v>2018</v>
      </c>
      <c r="G42">
        <v>2019</v>
      </c>
      <c r="H42">
        <v>0</v>
      </c>
      <c r="I42" t="s">
        <v>23</v>
      </c>
      <c r="J42" s="4">
        <v>44000</v>
      </c>
      <c r="K42">
        <v>4</v>
      </c>
      <c r="L42" t="str">
        <f>VLOOKUP(K42,Lojas!A$2:F$9,3)</f>
        <v>MG</v>
      </c>
      <c r="M42" t="str">
        <f>VLOOKUP(K42,Lojas!A$2:F$9,4)</f>
        <v>Belo Horizonte</v>
      </c>
      <c r="N42" s="3">
        <v>0.06</v>
      </c>
    </row>
    <row r="43" spans="1:14" x14ac:dyDescent="0.3">
      <c r="A43">
        <v>42</v>
      </c>
      <c r="B43" s="1">
        <v>43450</v>
      </c>
      <c r="C43" s="2">
        <v>0.40277777777777773</v>
      </c>
      <c r="D43" t="s">
        <v>90</v>
      </c>
      <c r="E43" t="s">
        <v>21</v>
      </c>
      <c r="F43">
        <v>2018</v>
      </c>
      <c r="G43">
        <v>2019</v>
      </c>
      <c r="H43">
        <v>0</v>
      </c>
      <c r="I43" t="s">
        <v>23</v>
      </c>
      <c r="J43" s="4">
        <v>70000</v>
      </c>
      <c r="K43">
        <v>4</v>
      </c>
      <c r="L43" t="str">
        <f>VLOOKUP(K43,Lojas!A$2:F$9,3)</f>
        <v>MG</v>
      </c>
      <c r="M43" t="str">
        <f>VLOOKUP(K43,Lojas!A$2:F$9,4)</f>
        <v>Belo Horizonte</v>
      </c>
      <c r="N43" s="3">
        <v>0.06</v>
      </c>
    </row>
    <row r="44" spans="1:14" x14ac:dyDescent="0.3">
      <c r="A44">
        <v>43</v>
      </c>
      <c r="B44" s="1">
        <v>43454</v>
      </c>
      <c r="C44" s="2">
        <v>0.3611111111111111</v>
      </c>
      <c r="D44" t="s">
        <v>90</v>
      </c>
      <c r="E44" t="s">
        <v>21</v>
      </c>
      <c r="F44">
        <v>2011</v>
      </c>
      <c r="G44">
        <v>2011</v>
      </c>
      <c r="H44">
        <v>80000</v>
      </c>
      <c r="I44" t="s">
        <v>23</v>
      </c>
      <c r="J44" s="4">
        <v>35000</v>
      </c>
      <c r="K44">
        <v>3</v>
      </c>
      <c r="L44" t="str">
        <f>VLOOKUP(K44,Lojas!A$2:F$9,3)</f>
        <v>SP</v>
      </c>
      <c r="M44" t="str">
        <f>VLOOKUP(K44,Lojas!A$2:F$9,4)</f>
        <v>Sumaré</v>
      </c>
      <c r="N44" s="3">
        <v>0.03</v>
      </c>
    </row>
    <row r="45" spans="1:14" x14ac:dyDescent="0.3">
      <c r="A45">
        <v>44</v>
      </c>
      <c r="B45" s="1">
        <v>43469</v>
      </c>
      <c r="C45" s="2">
        <v>0.39583333333333331</v>
      </c>
      <c r="D45" t="s">
        <v>91</v>
      </c>
      <c r="E45" t="s">
        <v>29</v>
      </c>
      <c r="F45">
        <v>2019</v>
      </c>
      <c r="G45">
        <v>2019</v>
      </c>
      <c r="H45">
        <v>0</v>
      </c>
      <c r="I45" t="s">
        <v>23</v>
      </c>
      <c r="J45" s="4">
        <v>120000</v>
      </c>
      <c r="K45">
        <v>1</v>
      </c>
      <c r="L45" t="str">
        <f>VLOOKUP(K45,Lojas!A$2:F$9,3)</f>
        <v>SP</v>
      </c>
      <c r="M45" t="str">
        <f>VLOOKUP(K45,Lojas!A$2:F$9,4)</f>
        <v>Campinas</v>
      </c>
      <c r="N45" s="3">
        <v>0.08</v>
      </c>
    </row>
    <row r="46" spans="1:14" x14ac:dyDescent="0.3">
      <c r="A46">
        <v>45</v>
      </c>
      <c r="B46" s="1">
        <v>43469</v>
      </c>
      <c r="C46" s="2">
        <v>0.4375</v>
      </c>
      <c r="D46" t="s">
        <v>22</v>
      </c>
      <c r="E46" t="s">
        <v>18</v>
      </c>
      <c r="F46">
        <v>2015</v>
      </c>
      <c r="G46">
        <v>2015</v>
      </c>
      <c r="H46">
        <v>80000</v>
      </c>
      <c r="I46" t="s">
        <v>23</v>
      </c>
      <c r="J46" s="4">
        <v>80000</v>
      </c>
      <c r="K46">
        <v>1</v>
      </c>
      <c r="L46" t="str">
        <f>VLOOKUP(K46,Lojas!A$2:F$9,3)</f>
        <v>SP</v>
      </c>
      <c r="M46" t="str">
        <f>VLOOKUP(K46,Lojas!A$2:F$9,4)</f>
        <v>Campinas</v>
      </c>
      <c r="N46" s="3">
        <v>7.0000000000000007E-2</v>
      </c>
    </row>
    <row r="47" spans="1:14" x14ac:dyDescent="0.3">
      <c r="A47">
        <v>46</v>
      </c>
      <c r="B47" s="1">
        <v>43469</v>
      </c>
      <c r="C47" s="2">
        <v>0.60416666666666663</v>
      </c>
      <c r="D47" t="s">
        <v>17</v>
      </c>
      <c r="E47" t="s">
        <v>29</v>
      </c>
      <c r="F47">
        <v>2016</v>
      </c>
      <c r="G47">
        <v>2017</v>
      </c>
      <c r="H47">
        <v>30000</v>
      </c>
      <c r="I47" t="s">
        <v>16</v>
      </c>
      <c r="J47" s="4">
        <v>41000</v>
      </c>
      <c r="K47">
        <v>2</v>
      </c>
      <c r="L47" t="str">
        <f>VLOOKUP(K47,Lojas!A$2:F$9,3)</f>
        <v>RJ</v>
      </c>
      <c r="M47" t="str">
        <f>VLOOKUP(K47,Lojas!A$2:F$9,4)</f>
        <v>Rio de Janeiro</v>
      </c>
      <c r="N47" s="3">
        <v>0.09</v>
      </c>
    </row>
    <row r="48" spans="1:14" x14ac:dyDescent="0.3">
      <c r="A48">
        <v>47</v>
      </c>
      <c r="B48" s="1">
        <v>43501</v>
      </c>
      <c r="C48" s="2">
        <v>0.58333333333333337</v>
      </c>
      <c r="D48" t="s">
        <v>17</v>
      </c>
      <c r="E48" t="s">
        <v>18</v>
      </c>
      <c r="F48">
        <v>2019</v>
      </c>
      <c r="G48">
        <v>2019</v>
      </c>
      <c r="H48">
        <v>0</v>
      </c>
      <c r="I48" t="s">
        <v>16</v>
      </c>
      <c r="J48" s="4">
        <v>48000</v>
      </c>
      <c r="K48">
        <v>3</v>
      </c>
      <c r="L48" t="str">
        <f>VLOOKUP(K48,Lojas!A$2:F$9,3)</f>
        <v>SP</v>
      </c>
      <c r="M48" t="str">
        <f>VLOOKUP(K48,Lojas!A$2:F$9,4)</f>
        <v>Sumaré</v>
      </c>
      <c r="N48" s="3">
        <v>0.04</v>
      </c>
    </row>
    <row r="49" spans="1:14" x14ac:dyDescent="0.3">
      <c r="A49">
        <v>48</v>
      </c>
      <c r="B49" s="1">
        <v>43501</v>
      </c>
      <c r="C49" s="2">
        <v>0.66666666666666663</v>
      </c>
      <c r="D49" t="s">
        <v>27</v>
      </c>
      <c r="E49" t="s">
        <v>18</v>
      </c>
      <c r="F49">
        <v>2018</v>
      </c>
      <c r="G49">
        <v>2018</v>
      </c>
      <c r="H49">
        <v>20000</v>
      </c>
      <c r="I49" t="s">
        <v>26</v>
      </c>
      <c r="J49" s="4">
        <v>70000</v>
      </c>
      <c r="K49">
        <v>6</v>
      </c>
      <c r="L49" t="str">
        <f>VLOOKUP(K49,Lojas!A$2:F$9,3)</f>
        <v>SP</v>
      </c>
      <c r="M49" t="str">
        <f>VLOOKUP(K49,Lojas!A$2:F$9,4)</f>
        <v>Hortolândia</v>
      </c>
      <c r="N49" s="3">
        <v>7.0000000000000007E-2</v>
      </c>
    </row>
    <row r="50" spans="1:14" x14ac:dyDescent="0.3">
      <c r="A50">
        <v>49</v>
      </c>
      <c r="B50" s="1">
        <v>43501</v>
      </c>
      <c r="C50" s="2">
        <v>0.70833333333333337</v>
      </c>
      <c r="D50" t="s">
        <v>27</v>
      </c>
      <c r="E50" t="s">
        <v>15</v>
      </c>
      <c r="F50">
        <v>2019</v>
      </c>
      <c r="G50">
        <v>2019</v>
      </c>
      <c r="H50">
        <v>0</v>
      </c>
      <c r="I50" t="s">
        <v>26</v>
      </c>
      <c r="J50" s="4">
        <v>90000</v>
      </c>
      <c r="K50">
        <v>7</v>
      </c>
      <c r="L50" t="str">
        <f>VLOOKUP(K50,Lojas!A$2:F$9,3)</f>
        <v>AM</v>
      </c>
      <c r="M50" t="str">
        <f>VLOOKUP(K50,Lojas!A$2:F$9,4)</f>
        <v>Manaus</v>
      </c>
      <c r="N50" s="3">
        <v>0.05</v>
      </c>
    </row>
    <row r="51" spans="1:14" x14ac:dyDescent="0.3">
      <c r="A51">
        <v>50</v>
      </c>
      <c r="B51" s="1">
        <v>43501</v>
      </c>
      <c r="C51" s="2">
        <v>0.34375</v>
      </c>
      <c r="D51" t="s">
        <v>34</v>
      </c>
      <c r="E51" t="s">
        <v>15</v>
      </c>
      <c r="F51">
        <v>2015</v>
      </c>
      <c r="G51">
        <v>2015</v>
      </c>
      <c r="H51">
        <v>30000</v>
      </c>
      <c r="I51" t="s">
        <v>26</v>
      </c>
      <c r="J51" s="4">
        <v>40000</v>
      </c>
      <c r="K51">
        <v>8</v>
      </c>
      <c r="L51" t="str">
        <f>VLOOKUP(K51,Lojas!A$2:F$9,3)</f>
        <v>PB</v>
      </c>
      <c r="M51" t="str">
        <f>VLOOKUP(K51,Lojas!A$2:F$9,4)</f>
        <v>João Pessoa</v>
      </c>
      <c r="N51" s="3">
        <v>0.05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A36E4-33DE-4C12-9E6D-A3329719087E}">
  <dimension ref="A1:B48"/>
  <sheetViews>
    <sheetView zoomScaleNormal="100" workbookViewId="0">
      <selection activeCell="E25" sqref="E25"/>
    </sheetView>
  </sheetViews>
  <sheetFormatPr defaultRowHeight="14.4" x14ac:dyDescent="0.3"/>
  <cols>
    <col min="1" max="1" width="17.21875" bestFit="1" customWidth="1"/>
    <col min="2" max="2" width="13.33203125" bestFit="1" customWidth="1"/>
    <col min="3" max="6" width="7" bestFit="1" customWidth="1"/>
    <col min="7" max="9" width="6" bestFit="1" customWidth="1"/>
    <col min="10" max="10" width="6.6640625" bestFit="1" customWidth="1"/>
    <col min="11" max="11" width="6.109375" bestFit="1" customWidth="1"/>
    <col min="12" max="12" width="7" bestFit="1" customWidth="1"/>
    <col min="13" max="13" width="6.44140625" bestFit="1" customWidth="1"/>
    <col min="14" max="15" width="7" bestFit="1" customWidth="1"/>
    <col min="16" max="17" width="6" bestFit="1" customWidth="1"/>
    <col min="18" max="18" width="7.6640625" bestFit="1" customWidth="1"/>
    <col min="19" max="20" width="6" bestFit="1" customWidth="1"/>
    <col min="21" max="21" width="6.44140625" bestFit="1" customWidth="1"/>
    <col min="22" max="23" width="6" bestFit="1" customWidth="1"/>
    <col min="24" max="24" width="8.33203125" bestFit="1" customWidth="1"/>
    <col min="25" max="26" width="7" bestFit="1" customWidth="1"/>
    <col min="27" max="27" width="10" bestFit="1" customWidth="1"/>
  </cols>
  <sheetData>
    <row r="1" spans="1:2" x14ac:dyDescent="0.3">
      <c r="A1" s="6" t="s">
        <v>7</v>
      </c>
      <c r="B1" t="s">
        <v>106</v>
      </c>
    </row>
    <row r="3" spans="1:2" x14ac:dyDescent="0.3">
      <c r="A3" s="6" t="s">
        <v>69</v>
      </c>
      <c r="B3" t="s">
        <v>68</v>
      </c>
    </row>
    <row r="4" spans="1:2" x14ac:dyDescent="0.3">
      <c r="A4" s="7" t="s">
        <v>46</v>
      </c>
      <c r="B4" s="5">
        <v>409000</v>
      </c>
    </row>
    <row r="5" spans="1:2" x14ac:dyDescent="0.3">
      <c r="A5" s="8" t="s">
        <v>17</v>
      </c>
      <c r="B5" s="5">
        <v>35000</v>
      </c>
    </row>
    <row r="6" spans="1:2" x14ac:dyDescent="0.3">
      <c r="A6" s="8" t="s">
        <v>22</v>
      </c>
      <c r="B6" s="5">
        <v>125000</v>
      </c>
    </row>
    <row r="7" spans="1:2" x14ac:dyDescent="0.3">
      <c r="A7" s="8" t="s">
        <v>27</v>
      </c>
      <c r="B7" s="5">
        <v>90000</v>
      </c>
    </row>
    <row r="8" spans="1:2" x14ac:dyDescent="0.3">
      <c r="A8" s="8" t="s">
        <v>35</v>
      </c>
      <c r="B8" s="5">
        <v>45000</v>
      </c>
    </row>
    <row r="9" spans="1:2" x14ac:dyDescent="0.3">
      <c r="A9" s="8" t="s">
        <v>76</v>
      </c>
      <c r="B9" s="5">
        <v>55000</v>
      </c>
    </row>
    <row r="10" spans="1:2" x14ac:dyDescent="0.3">
      <c r="A10" s="8" t="s">
        <v>89</v>
      </c>
      <c r="B10" s="5">
        <v>59000</v>
      </c>
    </row>
    <row r="11" spans="1:2" x14ac:dyDescent="0.3">
      <c r="A11" s="7" t="s">
        <v>42</v>
      </c>
      <c r="B11" s="5">
        <v>214000</v>
      </c>
    </row>
    <row r="12" spans="1:2" x14ac:dyDescent="0.3">
      <c r="A12" s="8" t="s">
        <v>36</v>
      </c>
      <c r="B12" s="5">
        <v>80000</v>
      </c>
    </row>
    <row r="13" spans="1:2" x14ac:dyDescent="0.3">
      <c r="A13" s="8" t="s">
        <v>14</v>
      </c>
      <c r="B13" s="5">
        <v>20000</v>
      </c>
    </row>
    <row r="14" spans="1:2" x14ac:dyDescent="0.3">
      <c r="A14" s="8" t="s">
        <v>28</v>
      </c>
      <c r="B14" s="5">
        <v>44000</v>
      </c>
    </row>
    <row r="15" spans="1:2" x14ac:dyDescent="0.3">
      <c r="A15" s="8" t="s">
        <v>90</v>
      </c>
      <c r="B15" s="5">
        <v>70000</v>
      </c>
    </row>
    <row r="16" spans="1:2" x14ac:dyDescent="0.3">
      <c r="A16" s="7" t="s">
        <v>48</v>
      </c>
      <c r="B16" s="5">
        <v>361000</v>
      </c>
    </row>
    <row r="17" spans="1:2" x14ac:dyDescent="0.3">
      <c r="A17" s="8" t="s">
        <v>30</v>
      </c>
      <c r="B17" s="5">
        <v>16000</v>
      </c>
    </row>
    <row r="18" spans="1:2" x14ac:dyDescent="0.3">
      <c r="A18" s="8" t="s">
        <v>36</v>
      </c>
      <c r="B18" s="5">
        <v>85000</v>
      </c>
    </row>
    <row r="19" spans="1:2" x14ac:dyDescent="0.3">
      <c r="A19" s="8" t="s">
        <v>31</v>
      </c>
      <c r="B19" s="5">
        <v>30000</v>
      </c>
    </row>
    <row r="20" spans="1:2" x14ac:dyDescent="0.3">
      <c r="A20" s="8" t="s">
        <v>34</v>
      </c>
      <c r="B20" s="5">
        <v>40000</v>
      </c>
    </row>
    <row r="21" spans="1:2" x14ac:dyDescent="0.3">
      <c r="A21" s="8" t="s">
        <v>35</v>
      </c>
      <c r="B21" s="5">
        <v>29000</v>
      </c>
    </row>
    <row r="22" spans="1:2" x14ac:dyDescent="0.3">
      <c r="A22" s="8" t="s">
        <v>77</v>
      </c>
      <c r="B22" s="5">
        <v>75000</v>
      </c>
    </row>
    <row r="23" spans="1:2" x14ac:dyDescent="0.3">
      <c r="A23" s="8" t="s">
        <v>88</v>
      </c>
      <c r="B23" s="5">
        <v>86000</v>
      </c>
    </row>
    <row r="24" spans="1:2" x14ac:dyDescent="0.3">
      <c r="A24" s="7" t="s">
        <v>39</v>
      </c>
      <c r="B24" s="5">
        <v>207000</v>
      </c>
    </row>
    <row r="25" spans="1:2" x14ac:dyDescent="0.3">
      <c r="A25" s="8" t="s">
        <v>17</v>
      </c>
      <c r="B25" s="5">
        <v>89000</v>
      </c>
    </row>
    <row r="26" spans="1:2" x14ac:dyDescent="0.3">
      <c r="A26" s="8" t="s">
        <v>28</v>
      </c>
      <c r="B26" s="5">
        <v>40000</v>
      </c>
    </row>
    <row r="27" spans="1:2" x14ac:dyDescent="0.3">
      <c r="A27" s="8" t="s">
        <v>32</v>
      </c>
      <c r="B27" s="5">
        <v>33000</v>
      </c>
    </row>
    <row r="28" spans="1:2" x14ac:dyDescent="0.3">
      <c r="A28" s="8" t="s">
        <v>83</v>
      </c>
      <c r="B28" s="5">
        <v>45000</v>
      </c>
    </row>
    <row r="29" spans="1:2" x14ac:dyDescent="0.3">
      <c r="A29" s="7" t="s">
        <v>37</v>
      </c>
      <c r="B29" s="5">
        <v>1246000</v>
      </c>
    </row>
    <row r="30" spans="1:2" x14ac:dyDescent="0.3">
      <c r="A30" s="8" t="s">
        <v>17</v>
      </c>
      <c r="B30" s="5">
        <v>95000</v>
      </c>
    </row>
    <row r="31" spans="1:2" x14ac:dyDescent="0.3">
      <c r="A31" s="8" t="s">
        <v>14</v>
      </c>
      <c r="B31" s="5">
        <v>153000</v>
      </c>
    </row>
    <row r="32" spans="1:2" x14ac:dyDescent="0.3">
      <c r="A32" s="8" t="s">
        <v>28</v>
      </c>
      <c r="B32" s="5">
        <v>72000</v>
      </c>
    </row>
    <row r="33" spans="1:2" x14ac:dyDescent="0.3">
      <c r="A33" s="8" t="s">
        <v>31</v>
      </c>
      <c r="B33" s="5">
        <v>69000</v>
      </c>
    </row>
    <row r="34" spans="1:2" x14ac:dyDescent="0.3">
      <c r="A34" s="8" t="s">
        <v>32</v>
      </c>
      <c r="B34" s="5">
        <v>39000</v>
      </c>
    </row>
    <row r="35" spans="1:2" x14ac:dyDescent="0.3">
      <c r="A35" s="8" t="s">
        <v>33</v>
      </c>
      <c r="B35" s="5">
        <v>28000</v>
      </c>
    </row>
    <row r="36" spans="1:2" x14ac:dyDescent="0.3">
      <c r="A36" s="8" t="s">
        <v>19</v>
      </c>
      <c r="B36" s="5">
        <v>30000</v>
      </c>
    </row>
    <row r="37" spans="1:2" x14ac:dyDescent="0.3">
      <c r="A37" s="8" t="s">
        <v>24</v>
      </c>
      <c r="B37" s="5">
        <v>40000</v>
      </c>
    </row>
    <row r="38" spans="1:2" x14ac:dyDescent="0.3">
      <c r="A38" s="8" t="s">
        <v>22</v>
      </c>
      <c r="B38" s="5">
        <v>138000</v>
      </c>
    </row>
    <row r="39" spans="1:2" x14ac:dyDescent="0.3">
      <c r="A39" s="8" t="s">
        <v>34</v>
      </c>
      <c r="B39" s="5">
        <v>38000</v>
      </c>
    </row>
    <row r="40" spans="1:2" x14ac:dyDescent="0.3">
      <c r="A40" s="8" t="s">
        <v>27</v>
      </c>
      <c r="B40" s="5">
        <v>160000</v>
      </c>
    </row>
    <row r="41" spans="1:2" x14ac:dyDescent="0.3">
      <c r="A41" s="8" t="s">
        <v>35</v>
      </c>
      <c r="B41" s="5">
        <v>40000</v>
      </c>
    </row>
    <row r="42" spans="1:2" x14ac:dyDescent="0.3">
      <c r="A42" s="8" t="s">
        <v>75</v>
      </c>
      <c r="B42" s="5">
        <v>40000</v>
      </c>
    </row>
    <row r="43" spans="1:2" x14ac:dyDescent="0.3">
      <c r="A43" s="8" t="s">
        <v>84</v>
      </c>
      <c r="B43" s="5">
        <v>34000</v>
      </c>
    </row>
    <row r="44" spans="1:2" x14ac:dyDescent="0.3">
      <c r="A44" s="8" t="s">
        <v>85</v>
      </c>
      <c r="B44" s="5">
        <v>50000</v>
      </c>
    </row>
    <row r="45" spans="1:2" x14ac:dyDescent="0.3">
      <c r="A45" s="8" t="s">
        <v>86</v>
      </c>
      <c r="B45" s="5">
        <v>65000</v>
      </c>
    </row>
    <row r="46" spans="1:2" x14ac:dyDescent="0.3">
      <c r="A46" s="8" t="s">
        <v>90</v>
      </c>
      <c r="B46" s="5">
        <v>35000</v>
      </c>
    </row>
    <row r="47" spans="1:2" x14ac:dyDescent="0.3">
      <c r="A47" s="8" t="s">
        <v>91</v>
      </c>
      <c r="B47" s="5">
        <v>120000</v>
      </c>
    </row>
    <row r="48" spans="1:2" x14ac:dyDescent="0.3">
      <c r="A48" s="7" t="s">
        <v>70</v>
      </c>
      <c r="B48" s="5">
        <v>2437000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F1D7B-0597-4CC4-ABB3-C5F549F7CA01}">
  <dimension ref="A1:I78"/>
  <sheetViews>
    <sheetView tabSelected="1" workbookViewId="0">
      <selection activeCell="K13" sqref="K13"/>
    </sheetView>
  </sheetViews>
  <sheetFormatPr defaultRowHeight="14.4" x14ac:dyDescent="0.3"/>
  <cols>
    <col min="1" max="1" width="23.33203125" bestFit="1" customWidth="1"/>
    <col min="2" max="2" width="18.109375" bestFit="1" customWidth="1"/>
    <col min="3" max="3" width="8.21875" bestFit="1" customWidth="1"/>
    <col min="4" max="4" width="14.33203125" bestFit="1" customWidth="1"/>
    <col min="5" max="5" width="10.44140625" bestFit="1" customWidth="1"/>
    <col min="6" max="6" width="14.109375" bestFit="1" customWidth="1"/>
    <col min="7" max="7" width="8.88671875" bestFit="1" customWidth="1"/>
    <col min="8" max="8" width="11.6640625" bestFit="1" customWidth="1"/>
    <col min="9" max="9" width="8" bestFit="1" customWidth="1"/>
  </cols>
  <sheetData>
    <row r="1" spans="1:9" x14ac:dyDescent="0.3">
      <c r="A1" s="6" t="s">
        <v>80</v>
      </c>
      <c r="B1" t="s" vm="1">
        <v>79</v>
      </c>
    </row>
    <row r="2" spans="1:9" x14ac:dyDescent="0.3">
      <c r="A2" s="6" t="s">
        <v>81</v>
      </c>
      <c r="B2" t="s" vm="2">
        <v>79</v>
      </c>
    </row>
    <row r="3" spans="1:9" x14ac:dyDescent="0.3">
      <c r="A3" s="6" t="s">
        <v>82</v>
      </c>
      <c r="B3" t="s" vm="3">
        <v>79</v>
      </c>
    </row>
    <row r="5" spans="1:9" x14ac:dyDescent="0.3">
      <c r="A5" s="6" t="s">
        <v>50</v>
      </c>
      <c r="B5" s="6" t="s">
        <v>12</v>
      </c>
      <c r="C5" s="6" t="s">
        <v>3</v>
      </c>
      <c r="D5" t="s">
        <v>71</v>
      </c>
      <c r="E5" t="s">
        <v>72</v>
      </c>
      <c r="F5" t="s">
        <v>73</v>
      </c>
      <c r="G5" t="s">
        <v>13</v>
      </c>
      <c r="H5" t="s">
        <v>74</v>
      </c>
      <c r="I5" t="s">
        <v>78</v>
      </c>
    </row>
    <row r="6" spans="1:9" x14ac:dyDescent="0.3">
      <c r="A6" t="s">
        <v>53</v>
      </c>
      <c r="B6" t="s">
        <v>38</v>
      </c>
      <c r="C6" t="s">
        <v>17</v>
      </c>
      <c r="D6" s="9">
        <v>47000</v>
      </c>
      <c r="E6" s="5">
        <v>1</v>
      </c>
      <c r="F6" s="11">
        <v>940</v>
      </c>
      <c r="G6" s="10">
        <v>0.02</v>
      </c>
      <c r="H6" s="9">
        <v>752</v>
      </c>
      <c r="I6" s="10">
        <v>8.0143234717367211E-3</v>
      </c>
    </row>
    <row r="7" spans="1:9" x14ac:dyDescent="0.3">
      <c r="C7" t="s">
        <v>91</v>
      </c>
      <c r="D7" s="9">
        <v>120000</v>
      </c>
      <c r="E7" s="5">
        <v>1</v>
      </c>
      <c r="F7" s="11">
        <v>9600</v>
      </c>
      <c r="G7" s="10">
        <v>0.08</v>
      </c>
      <c r="H7" s="9">
        <v>7680</v>
      </c>
      <c r="I7" s="10">
        <v>8.1848409924119708E-2</v>
      </c>
    </row>
    <row r="8" spans="1:9" x14ac:dyDescent="0.3">
      <c r="C8" t="s">
        <v>14</v>
      </c>
      <c r="D8" s="9">
        <v>153000</v>
      </c>
      <c r="E8" s="5">
        <v>4</v>
      </c>
      <c r="F8" s="11">
        <v>5760</v>
      </c>
      <c r="G8" s="10">
        <v>0.15</v>
      </c>
      <c r="H8" s="9">
        <v>4608</v>
      </c>
      <c r="I8" s="10">
        <v>4.9109045954471825E-2</v>
      </c>
    </row>
    <row r="9" spans="1:9" x14ac:dyDescent="0.3">
      <c r="C9" t="s">
        <v>31</v>
      </c>
      <c r="D9" s="9">
        <v>38000</v>
      </c>
      <c r="E9" s="5">
        <v>1</v>
      </c>
      <c r="F9" s="11">
        <v>380</v>
      </c>
      <c r="G9" s="10">
        <v>0.01</v>
      </c>
      <c r="H9" s="9">
        <v>304</v>
      </c>
      <c r="I9" s="10">
        <v>3.2398328928297383E-3</v>
      </c>
    </row>
    <row r="10" spans="1:9" x14ac:dyDescent="0.3">
      <c r="C10" t="s">
        <v>24</v>
      </c>
      <c r="D10" s="9">
        <v>40000</v>
      </c>
      <c r="E10" s="5">
        <v>1</v>
      </c>
      <c r="F10" s="11">
        <v>2000</v>
      </c>
      <c r="G10" s="10">
        <v>0.05</v>
      </c>
      <c r="H10" s="9">
        <v>1600</v>
      </c>
      <c r="I10" s="10">
        <v>1.7051752067524937E-2</v>
      </c>
    </row>
    <row r="11" spans="1:9" x14ac:dyDescent="0.3">
      <c r="C11" t="s">
        <v>22</v>
      </c>
      <c r="D11" s="9">
        <v>80000</v>
      </c>
      <c r="E11" s="5">
        <v>1</v>
      </c>
      <c r="F11" s="11">
        <v>5600.0000000000009</v>
      </c>
      <c r="G11" s="10">
        <v>7.0000000000000007E-2</v>
      </c>
      <c r="H11" s="9">
        <v>4480.0000000000009</v>
      </c>
      <c r="I11" s="10">
        <v>4.7744905789069834E-2</v>
      </c>
    </row>
    <row r="12" spans="1:9" x14ac:dyDescent="0.3">
      <c r="C12" t="s">
        <v>75</v>
      </c>
      <c r="D12" s="9">
        <v>18000</v>
      </c>
      <c r="E12" s="5">
        <v>1</v>
      </c>
      <c r="F12" s="11">
        <v>540</v>
      </c>
      <c r="G12" s="10">
        <v>0.03</v>
      </c>
      <c r="H12" s="9">
        <v>432</v>
      </c>
      <c r="I12" s="10">
        <v>4.6039730582317336E-3</v>
      </c>
    </row>
    <row r="13" spans="1:9" x14ac:dyDescent="0.3">
      <c r="C13" t="s">
        <v>35</v>
      </c>
      <c r="D13" s="9">
        <v>40000</v>
      </c>
      <c r="E13" s="5">
        <v>1</v>
      </c>
      <c r="F13" s="11">
        <v>2800.0000000000005</v>
      </c>
      <c r="G13" s="10">
        <v>7.0000000000000007E-2</v>
      </c>
      <c r="H13" s="9">
        <v>2240.0000000000005</v>
      </c>
      <c r="I13" s="10">
        <v>2.3872452894534917E-2</v>
      </c>
    </row>
    <row r="14" spans="1:9" x14ac:dyDescent="0.3">
      <c r="B14" t="s">
        <v>92</v>
      </c>
      <c r="D14" s="9">
        <v>536000</v>
      </c>
      <c r="E14" s="5">
        <v>11</v>
      </c>
      <c r="F14" s="11">
        <v>27620</v>
      </c>
      <c r="G14" s="10">
        <v>0.48</v>
      </c>
      <c r="H14" s="9">
        <v>22096</v>
      </c>
      <c r="I14" s="10">
        <v>0.2354846960525194</v>
      </c>
    </row>
    <row r="15" spans="1:9" x14ac:dyDescent="0.3">
      <c r="D15" s="9"/>
      <c r="E15" s="5"/>
      <c r="F15" s="11"/>
      <c r="G15" s="10"/>
      <c r="H15" s="9"/>
      <c r="I15" s="10"/>
    </row>
    <row r="16" spans="1:9" x14ac:dyDescent="0.3">
      <c r="B16" t="s">
        <v>45</v>
      </c>
      <c r="C16" t="s">
        <v>85</v>
      </c>
      <c r="D16" s="9">
        <v>50000</v>
      </c>
      <c r="E16" s="5">
        <v>1</v>
      </c>
      <c r="F16" s="11">
        <v>3500.0000000000005</v>
      </c>
      <c r="G16" s="10">
        <v>7.0000000000000007E-2</v>
      </c>
      <c r="H16" s="9">
        <v>2800.0000000000005</v>
      </c>
      <c r="I16" s="10">
        <v>2.9840566118168647E-2</v>
      </c>
    </row>
    <row r="17" spans="1:9" x14ac:dyDescent="0.3">
      <c r="C17" t="s">
        <v>28</v>
      </c>
      <c r="D17" s="9">
        <v>35000</v>
      </c>
      <c r="E17" s="5">
        <v>1</v>
      </c>
      <c r="F17" s="11">
        <v>700</v>
      </c>
      <c r="G17" s="10">
        <v>0.02</v>
      </c>
      <c r="H17" s="9">
        <v>560</v>
      </c>
      <c r="I17" s="10">
        <v>5.9681132236337284E-3</v>
      </c>
    </row>
    <row r="18" spans="1:9" x14ac:dyDescent="0.3">
      <c r="C18" t="s">
        <v>86</v>
      </c>
      <c r="D18" s="9">
        <v>65000</v>
      </c>
      <c r="E18" s="5">
        <v>1</v>
      </c>
      <c r="F18" s="11">
        <v>2600</v>
      </c>
      <c r="G18" s="10">
        <v>0.04</v>
      </c>
      <c r="H18" s="9">
        <v>2080</v>
      </c>
      <c r="I18" s="10">
        <v>2.216727768778242E-2</v>
      </c>
    </row>
    <row r="19" spans="1:9" x14ac:dyDescent="0.3">
      <c r="C19" t="s">
        <v>27</v>
      </c>
      <c r="D19" s="9">
        <v>160000</v>
      </c>
      <c r="E19" s="5">
        <v>2</v>
      </c>
      <c r="F19" s="11">
        <v>12100</v>
      </c>
      <c r="G19" s="10">
        <v>0.15</v>
      </c>
      <c r="H19" s="9">
        <v>9680</v>
      </c>
      <c r="I19" s="10">
        <v>0.10316310000852588</v>
      </c>
    </row>
    <row r="20" spans="1:9" x14ac:dyDescent="0.3">
      <c r="B20" t="s">
        <v>93</v>
      </c>
      <c r="D20" s="9">
        <v>310000</v>
      </c>
      <c r="E20" s="5">
        <v>5</v>
      </c>
      <c r="F20" s="11">
        <v>18900</v>
      </c>
      <c r="G20" s="10">
        <v>0.28000000000000003</v>
      </c>
      <c r="H20" s="9">
        <v>15120</v>
      </c>
      <c r="I20" s="10">
        <v>0.16113905703811066</v>
      </c>
    </row>
    <row r="21" spans="1:9" x14ac:dyDescent="0.3">
      <c r="D21" s="9"/>
      <c r="E21" s="5"/>
      <c r="F21" s="11"/>
      <c r="G21" s="10"/>
      <c r="H21" s="9"/>
      <c r="I21" s="10"/>
    </row>
    <row r="22" spans="1:9" x14ac:dyDescent="0.3">
      <c r="A22" t="s">
        <v>94</v>
      </c>
      <c r="D22" s="9">
        <v>846000</v>
      </c>
      <c r="E22" s="5">
        <v>16</v>
      </c>
      <c r="F22" s="11">
        <v>46520</v>
      </c>
      <c r="G22" s="10">
        <v>0.76</v>
      </c>
      <c r="H22" s="9">
        <v>37216</v>
      </c>
      <c r="I22" s="10">
        <v>0.39662375309063008</v>
      </c>
    </row>
    <row r="23" spans="1:9" x14ac:dyDescent="0.3">
      <c r="D23" s="9"/>
      <c r="E23" s="5"/>
      <c r="F23" s="11"/>
      <c r="G23" s="10"/>
      <c r="H23" s="9"/>
      <c r="I23" s="10"/>
    </row>
    <row r="24" spans="1:9" x14ac:dyDescent="0.3">
      <c r="A24" t="s">
        <v>56</v>
      </c>
      <c r="B24" t="s">
        <v>40</v>
      </c>
      <c r="C24" t="s">
        <v>17</v>
      </c>
      <c r="D24" s="9">
        <v>89000</v>
      </c>
      <c r="E24" s="5">
        <v>2</v>
      </c>
      <c r="F24" s="11">
        <v>4650</v>
      </c>
      <c r="G24" s="10">
        <v>0.11</v>
      </c>
      <c r="H24" s="9">
        <v>3720</v>
      </c>
      <c r="I24" s="10">
        <v>3.9645323556995481E-2</v>
      </c>
    </row>
    <row r="25" spans="1:9" x14ac:dyDescent="0.3">
      <c r="C25" t="s">
        <v>83</v>
      </c>
      <c r="D25" s="9">
        <v>45000</v>
      </c>
      <c r="E25" s="5">
        <v>1</v>
      </c>
      <c r="F25" s="11">
        <v>1350</v>
      </c>
      <c r="G25" s="10">
        <v>0.03</v>
      </c>
      <c r="H25" s="9">
        <v>1080</v>
      </c>
      <c r="I25" s="10">
        <v>1.1509932645579334E-2</v>
      </c>
    </row>
    <row r="26" spans="1:9" x14ac:dyDescent="0.3">
      <c r="C26" t="s">
        <v>28</v>
      </c>
      <c r="D26" s="9">
        <v>40000</v>
      </c>
      <c r="E26" s="5">
        <v>1</v>
      </c>
      <c r="F26" s="11">
        <v>400</v>
      </c>
      <c r="G26" s="10">
        <v>0.01</v>
      </c>
      <c r="H26" s="9">
        <v>320</v>
      </c>
      <c r="I26" s="10">
        <v>3.4103504135049876E-3</v>
      </c>
    </row>
    <row r="27" spans="1:9" x14ac:dyDescent="0.3">
      <c r="C27" t="s">
        <v>32</v>
      </c>
      <c r="D27" s="9">
        <v>33000</v>
      </c>
      <c r="E27" s="5">
        <v>1</v>
      </c>
      <c r="F27" s="11">
        <v>1650</v>
      </c>
      <c r="G27" s="10">
        <v>0.05</v>
      </c>
      <c r="H27" s="9">
        <v>1320</v>
      </c>
      <c r="I27" s="10">
        <v>1.4067695455708074E-2</v>
      </c>
    </row>
    <row r="28" spans="1:9" x14ac:dyDescent="0.3">
      <c r="B28" t="s">
        <v>99</v>
      </c>
      <c r="D28" s="9">
        <v>207000</v>
      </c>
      <c r="E28" s="5">
        <v>5</v>
      </c>
      <c r="F28" s="11">
        <v>8050</v>
      </c>
      <c r="G28" s="10">
        <v>0.2</v>
      </c>
      <c r="H28" s="9">
        <v>6440</v>
      </c>
      <c r="I28" s="10">
        <v>6.8633302071787874E-2</v>
      </c>
    </row>
    <row r="29" spans="1:9" x14ac:dyDescent="0.3">
      <c r="D29" s="9"/>
      <c r="E29" s="5"/>
      <c r="F29" s="11"/>
      <c r="G29" s="10"/>
      <c r="H29" s="9"/>
      <c r="I29" s="10"/>
    </row>
    <row r="30" spans="1:9" x14ac:dyDescent="0.3">
      <c r="B30" t="s">
        <v>41</v>
      </c>
      <c r="C30" t="s">
        <v>90</v>
      </c>
      <c r="D30" s="9">
        <v>35000</v>
      </c>
      <c r="E30" s="5">
        <v>1</v>
      </c>
      <c r="F30" s="11">
        <v>1050</v>
      </c>
      <c r="G30" s="10">
        <v>0.03</v>
      </c>
      <c r="H30" s="9">
        <v>840</v>
      </c>
      <c r="I30" s="10">
        <v>8.9521698354505918E-3</v>
      </c>
    </row>
    <row r="31" spans="1:9" x14ac:dyDescent="0.3">
      <c r="C31" t="s">
        <v>17</v>
      </c>
      <c r="D31" s="9">
        <v>48000</v>
      </c>
      <c r="E31" s="5">
        <v>1</v>
      </c>
      <c r="F31" s="11">
        <v>1920</v>
      </c>
      <c r="G31" s="10">
        <v>0.04</v>
      </c>
      <c r="H31" s="9">
        <v>1536</v>
      </c>
      <c r="I31" s="10">
        <v>1.6369681984823942E-2</v>
      </c>
    </row>
    <row r="32" spans="1:9" x14ac:dyDescent="0.3">
      <c r="C32" t="s">
        <v>32</v>
      </c>
      <c r="D32" s="9">
        <v>39000</v>
      </c>
      <c r="E32" s="5">
        <v>1</v>
      </c>
      <c r="F32" s="11">
        <v>1560</v>
      </c>
      <c r="G32" s="10">
        <v>0.04</v>
      </c>
      <c r="H32" s="9">
        <v>1248</v>
      </c>
      <c r="I32" s="10">
        <v>1.3300366612669453E-2</v>
      </c>
    </row>
    <row r="33" spans="1:9" x14ac:dyDescent="0.3">
      <c r="C33" t="s">
        <v>33</v>
      </c>
      <c r="D33" s="9">
        <v>28000</v>
      </c>
      <c r="E33" s="5">
        <v>1</v>
      </c>
      <c r="F33" s="11">
        <v>1680</v>
      </c>
      <c r="G33" s="10">
        <v>0.06</v>
      </c>
      <c r="H33" s="9">
        <v>1344</v>
      </c>
      <c r="I33" s="10">
        <v>1.4323471736720947E-2</v>
      </c>
    </row>
    <row r="34" spans="1:9" x14ac:dyDescent="0.3">
      <c r="C34" t="s">
        <v>19</v>
      </c>
      <c r="D34" s="9">
        <v>30000</v>
      </c>
      <c r="E34" s="5">
        <v>1</v>
      </c>
      <c r="F34" s="11">
        <v>900</v>
      </c>
      <c r="G34" s="10">
        <v>0.03</v>
      </c>
      <c r="H34" s="9">
        <v>720</v>
      </c>
      <c r="I34" s="10">
        <v>7.6732884303862218E-3</v>
      </c>
    </row>
    <row r="35" spans="1:9" x14ac:dyDescent="0.3">
      <c r="C35" t="s">
        <v>34</v>
      </c>
      <c r="D35" s="9">
        <v>38000</v>
      </c>
      <c r="E35" s="5">
        <v>1</v>
      </c>
      <c r="F35" s="11">
        <v>2280</v>
      </c>
      <c r="G35" s="10">
        <v>0.06</v>
      </c>
      <c r="H35" s="9">
        <v>1824</v>
      </c>
      <c r="I35" s="10">
        <v>1.9438997356978429E-2</v>
      </c>
    </row>
    <row r="36" spans="1:9" x14ac:dyDescent="0.3">
      <c r="C36" t="s">
        <v>75</v>
      </c>
      <c r="D36" s="9">
        <v>22000</v>
      </c>
      <c r="E36" s="5">
        <v>1</v>
      </c>
      <c r="F36" s="11">
        <v>440</v>
      </c>
      <c r="G36" s="10">
        <v>0.02</v>
      </c>
      <c r="H36" s="9">
        <v>352</v>
      </c>
      <c r="I36" s="10">
        <v>3.7513854548554865E-3</v>
      </c>
    </row>
    <row r="37" spans="1:9" x14ac:dyDescent="0.3">
      <c r="B37" t="s">
        <v>100</v>
      </c>
      <c r="D37" s="9">
        <v>240000</v>
      </c>
      <c r="E37" s="5">
        <v>7</v>
      </c>
      <c r="F37" s="11">
        <v>9830</v>
      </c>
      <c r="G37" s="10">
        <v>0.28000000000000003</v>
      </c>
      <c r="H37" s="9">
        <v>7864</v>
      </c>
      <c r="I37" s="10">
        <v>8.3809361411885067E-2</v>
      </c>
    </row>
    <row r="38" spans="1:9" x14ac:dyDescent="0.3">
      <c r="D38" s="9"/>
      <c r="E38" s="5"/>
      <c r="F38" s="11"/>
      <c r="G38" s="10"/>
      <c r="H38" s="9"/>
      <c r="I38" s="10"/>
    </row>
    <row r="39" spans="1:9" x14ac:dyDescent="0.3">
      <c r="A39" t="s">
        <v>101</v>
      </c>
      <c r="D39" s="9">
        <v>447000</v>
      </c>
      <c r="E39" s="5">
        <v>12</v>
      </c>
      <c r="F39" s="11">
        <v>17880</v>
      </c>
      <c r="G39" s="10">
        <v>0.48</v>
      </c>
      <c r="H39" s="9">
        <v>14304</v>
      </c>
      <c r="I39" s="10">
        <v>0.15244266348367294</v>
      </c>
    </row>
    <row r="40" spans="1:9" x14ac:dyDescent="0.3">
      <c r="D40" s="9"/>
      <c r="E40" s="5"/>
      <c r="F40" s="11"/>
      <c r="G40" s="10"/>
      <c r="H40" s="9"/>
      <c r="I40" s="10"/>
    </row>
    <row r="41" spans="1:9" x14ac:dyDescent="0.3">
      <c r="A41" t="s">
        <v>66</v>
      </c>
      <c r="B41" t="s">
        <v>49</v>
      </c>
      <c r="C41" t="s">
        <v>77</v>
      </c>
      <c r="D41" s="9">
        <v>75000</v>
      </c>
      <c r="E41" s="5">
        <v>1</v>
      </c>
      <c r="F41" s="11">
        <v>6000</v>
      </c>
      <c r="G41" s="10">
        <v>0.08</v>
      </c>
      <c r="H41" s="9">
        <v>4800</v>
      </c>
      <c r="I41" s="10">
        <v>5.1155256202574814E-2</v>
      </c>
    </row>
    <row r="42" spans="1:9" x14ac:dyDescent="0.3">
      <c r="C42" t="s">
        <v>30</v>
      </c>
      <c r="D42" s="9">
        <v>16000</v>
      </c>
      <c r="E42" s="5">
        <v>1</v>
      </c>
      <c r="F42" s="11">
        <v>480</v>
      </c>
      <c r="G42" s="10">
        <v>0.03</v>
      </c>
      <c r="H42" s="9">
        <v>384</v>
      </c>
      <c r="I42" s="10">
        <v>4.0924204962059854E-3</v>
      </c>
    </row>
    <row r="43" spans="1:9" x14ac:dyDescent="0.3">
      <c r="C43" t="s">
        <v>36</v>
      </c>
      <c r="D43" s="9">
        <v>85000</v>
      </c>
      <c r="E43" s="5">
        <v>1</v>
      </c>
      <c r="F43" s="11">
        <v>3400</v>
      </c>
      <c r="G43" s="10">
        <v>0.04</v>
      </c>
      <c r="H43" s="9">
        <v>2720</v>
      </c>
      <c r="I43" s="10">
        <v>2.8987978514792394E-2</v>
      </c>
    </row>
    <row r="44" spans="1:9" x14ac:dyDescent="0.3">
      <c r="C44" t="s">
        <v>88</v>
      </c>
      <c r="D44" s="9">
        <v>86000</v>
      </c>
      <c r="E44" s="5">
        <v>2</v>
      </c>
      <c r="F44" s="11">
        <v>2680</v>
      </c>
      <c r="G44" s="10">
        <v>0.06</v>
      </c>
      <c r="H44" s="9">
        <v>2144</v>
      </c>
      <c r="I44" s="10">
        <v>2.2849347770483416E-2</v>
      </c>
    </row>
    <row r="45" spans="1:9" x14ac:dyDescent="0.3">
      <c r="C45" t="s">
        <v>31</v>
      </c>
      <c r="D45" s="9">
        <v>30000</v>
      </c>
      <c r="E45" s="5">
        <v>1</v>
      </c>
      <c r="F45" s="11">
        <v>1200</v>
      </c>
      <c r="G45" s="10">
        <v>0.04</v>
      </c>
      <c r="H45" s="9">
        <v>960</v>
      </c>
      <c r="I45" s="10">
        <v>1.0231051240514964E-2</v>
      </c>
    </row>
    <row r="46" spans="1:9" x14ac:dyDescent="0.3">
      <c r="C46" t="s">
        <v>34</v>
      </c>
      <c r="D46" s="9">
        <v>40000</v>
      </c>
      <c r="E46" s="5">
        <v>1</v>
      </c>
      <c r="F46" s="11">
        <v>2000</v>
      </c>
      <c r="G46" s="10">
        <v>0.05</v>
      </c>
      <c r="H46" s="9">
        <v>1600</v>
      </c>
      <c r="I46" s="10">
        <v>1.7051752067524937E-2</v>
      </c>
    </row>
    <row r="47" spans="1:9" x14ac:dyDescent="0.3">
      <c r="C47" t="s">
        <v>35</v>
      </c>
      <c r="D47" s="9">
        <v>29000</v>
      </c>
      <c r="E47" s="5">
        <v>1</v>
      </c>
      <c r="F47" s="11">
        <v>290</v>
      </c>
      <c r="G47" s="10">
        <v>0.01</v>
      </c>
      <c r="H47" s="9">
        <v>232</v>
      </c>
      <c r="I47" s="10">
        <v>2.472504049791116E-3</v>
      </c>
    </row>
    <row r="48" spans="1:9" x14ac:dyDescent="0.3">
      <c r="B48" t="s">
        <v>97</v>
      </c>
      <c r="D48" s="9">
        <v>361000</v>
      </c>
      <c r="E48" s="5">
        <v>8</v>
      </c>
      <c r="F48" s="11">
        <v>16050</v>
      </c>
      <c r="G48" s="10">
        <v>0.31</v>
      </c>
      <c r="H48" s="9">
        <v>12840</v>
      </c>
      <c r="I48" s="10">
        <v>0.13684031034188762</v>
      </c>
    </row>
    <row r="49" spans="1:9" x14ac:dyDescent="0.3">
      <c r="D49" s="9"/>
      <c r="E49" s="5"/>
      <c r="F49" s="11"/>
      <c r="G49" s="10"/>
      <c r="H49" s="9"/>
      <c r="I49" s="10"/>
    </row>
    <row r="50" spans="1:9" x14ac:dyDescent="0.3">
      <c r="A50" t="s">
        <v>98</v>
      </c>
      <c r="D50" s="9">
        <v>361000</v>
      </c>
      <c r="E50" s="5">
        <v>8</v>
      </c>
      <c r="F50" s="11">
        <v>16050</v>
      </c>
      <c r="G50" s="10">
        <v>0.31</v>
      </c>
      <c r="H50" s="9">
        <v>12840</v>
      </c>
      <c r="I50" s="10">
        <v>0.13684031034188762</v>
      </c>
    </row>
    <row r="51" spans="1:9" x14ac:dyDescent="0.3">
      <c r="D51" s="9"/>
      <c r="E51" s="5"/>
      <c r="F51" s="11"/>
      <c r="G51" s="10"/>
      <c r="H51" s="9"/>
      <c r="I51" s="10"/>
    </row>
    <row r="52" spans="1:9" x14ac:dyDescent="0.3">
      <c r="A52" t="s">
        <v>64</v>
      </c>
      <c r="B52" t="s">
        <v>47</v>
      </c>
      <c r="C52" t="s">
        <v>89</v>
      </c>
      <c r="D52" s="9">
        <v>59000</v>
      </c>
      <c r="E52" s="5">
        <v>1</v>
      </c>
      <c r="F52" s="11">
        <v>2950</v>
      </c>
      <c r="G52" s="10">
        <v>0.05</v>
      </c>
      <c r="H52" s="9">
        <v>2360</v>
      </c>
      <c r="I52" s="10">
        <v>2.5151334299599284E-2</v>
      </c>
    </row>
    <row r="53" spans="1:9" x14ac:dyDescent="0.3">
      <c r="C53" t="s">
        <v>17</v>
      </c>
      <c r="D53" s="9">
        <v>35000</v>
      </c>
      <c r="E53" s="5">
        <v>1</v>
      </c>
      <c r="F53" s="11">
        <v>2450.0000000000005</v>
      </c>
      <c r="G53" s="10">
        <v>7.0000000000000007E-2</v>
      </c>
      <c r="H53" s="9">
        <v>1960.0000000000005</v>
      </c>
      <c r="I53" s="10">
        <v>2.0888396282718054E-2</v>
      </c>
    </row>
    <row r="54" spans="1:9" x14ac:dyDescent="0.3">
      <c r="C54" t="s">
        <v>22</v>
      </c>
      <c r="D54" s="9">
        <v>125000</v>
      </c>
      <c r="E54" s="5">
        <v>1</v>
      </c>
      <c r="F54" s="11">
        <v>6250</v>
      </c>
      <c r="G54" s="10">
        <v>0.05</v>
      </c>
      <c r="H54" s="9">
        <v>5000</v>
      </c>
      <c r="I54" s="10">
        <v>5.3286725211015434E-2</v>
      </c>
    </row>
    <row r="55" spans="1:9" x14ac:dyDescent="0.3">
      <c r="C55" t="s">
        <v>76</v>
      </c>
      <c r="D55" s="9">
        <v>55000</v>
      </c>
      <c r="E55" s="5">
        <v>1</v>
      </c>
      <c r="F55" s="11">
        <v>3300</v>
      </c>
      <c r="G55" s="10">
        <v>0.06</v>
      </c>
      <c r="H55" s="9">
        <v>2640</v>
      </c>
      <c r="I55" s="10">
        <v>2.8135390911416147E-2</v>
      </c>
    </row>
    <row r="56" spans="1:9" x14ac:dyDescent="0.3">
      <c r="C56" t="s">
        <v>27</v>
      </c>
      <c r="D56" s="9">
        <v>90000</v>
      </c>
      <c r="E56" s="5">
        <v>1</v>
      </c>
      <c r="F56" s="11">
        <v>4500</v>
      </c>
      <c r="G56" s="10">
        <v>0.05</v>
      </c>
      <c r="H56" s="9">
        <v>3600</v>
      </c>
      <c r="I56" s="10">
        <v>3.8366442151931114E-2</v>
      </c>
    </row>
    <row r="57" spans="1:9" x14ac:dyDescent="0.3">
      <c r="C57" t="s">
        <v>35</v>
      </c>
      <c r="D57" s="9">
        <v>45000</v>
      </c>
      <c r="E57" s="5">
        <v>1</v>
      </c>
      <c r="F57" s="11">
        <v>900</v>
      </c>
      <c r="G57" s="10">
        <v>0.02</v>
      </c>
      <c r="H57" s="9">
        <v>720</v>
      </c>
      <c r="I57" s="10">
        <v>7.6732884303862218E-3</v>
      </c>
    </row>
    <row r="58" spans="1:9" x14ac:dyDescent="0.3">
      <c r="B58" t="s">
        <v>104</v>
      </c>
      <c r="D58" s="9">
        <v>409000</v>
      </c>
      <c r="E58" s="5">
        <v>6</v>
      </c>
      <c r="F58" s="11">
        <v>20350</v>
      </c>
      <c r="G58" s="10">
        <v>0.3</v>
      </c>
      <c r="H58" s="9">
        <v>16280</v>
      </c>
      <c r="I58" s="10">
        <v>0.17350157728706625</v>
      </c>
    </row>
    <row r="59" spans="1:9" x14ac:dyDescent="0.3">
      <c r="D59" s="9"/>
      <c r="E59" s="5"/>
      <c r="F59" s="11"/>
      <c r="G59" s="10"/>
      <c r="H59" s="9"/>
      <c r="I59" s="10"/>
    </row>
    <row r="60" spans="1:9" x14ac:dyDescent="0.3">
      <c r="A60" t="s">
        <v>105</v>
      </c>
      <c r="D60" s="9">
        <v>409000</v>
      </c>
      <c r="E60" s="5">
        <v>6</v>
      </c>
      <c r="F60" s="11">
        <v>20350</v>
      </c>
      <c r="G60" s="10">
        <v>0.3</v>
      </c>
      <c r="H60" s="9">
        <v>16280</v>
      </c>
      <c r="I60" s="10">
        <v>0.17350157728706625</v>
      </c>
    </row>
    <row r="61" spans="1:9" x14ac:dyDescent="0.3">
      <c r="D61" s="9"/>
      <c r="E61" s="5"/>
      <c r="F61" s="11"/>
      <c r="G61" s="10"/>
      <c r="H61" s="9"/>
      <c r="I61" s="10"/>
    </row>
    <row r="62" spans="1:9" x14ac:dyDescent="0.3">
      <c r="A62" t="s">
        <v>62</v>
      </c>
      <c r="B62" t="s">
        <v>44</v>
      </c>
      <c r="C62" t="s">
        <v>84</v>
      </c>
      <c r="D62" s="9">
        <v>34000</v>
      </c>
      <c r="E62" s="5">
        <v>1</v>
      </c>
      <c r="F62" s="11">
        <v>1700</v>
      </c>
      <c r="G62" s="10">
        <v>0.05</v>
      </c>
      <c r="H62" s="9">
        <v>1360</v>
      </c>
      <c r="I62" s="10">
        <v>1.4493989257396197E-2</v>
      </c>
    </row>
    <row r="63" spans="1:9" x14ac:dyDescent="0.3">
      <c r="C63" t="s">
        <v>28</v>
      </c>
      <c r="D63" s="9">
        <v>37000</v>
      </c>
      <c r="E63" s="5">
        <v>1</v>
      </c>
      <c r="F63" s="11">
        <v>1480</v>
      </c>
      <c r="G63" s="10">
        <v>0.04</v>
      </c>
      <c r="H63" s="9">
        <v>1184</v>
      </c>
      <c r="I63" s="10">
        <v>1.2618296529968454E-2</v>
      </c>
    </row>
    <row r="64" spans="1:9" x14ac:dyDescent="0.3">
      <c r="C64" t="s">
        <v>31</v>
      </c>
      <c r="D64" s="9">
        <v>31000</v>
      </c>
      <c r="E64" s="5">
        <v>1</v>
      </c>
      <c r="F64" s="11">
        <v>310</v>
      </c>
      <c r="G64" s="10">
        <v>0.01</v>
      </c>
      <c r="H64" s="9">
        <v>248</v>
      </c>
      <c r="I64" s="10">
        <v>2.6430215704663653E-3</v>
      </c>
    </row>
    <row r="65" spans="1:9" x14ac:dyDescent="0.3">
      <c r="C65" t="s">
        <v>22</v>
      </c>
      <c r="D65" s="9">
        <v>58000</v>
      </c>
      <c r="E65" s="5">
        <v>1</v>
      </c>
      <c r="F65" s="11">
        <v>1160</v>
      </c>
      <c r="G65" s="10">
        <v>0.02</v>
      </c>
      <c r="H65" s="9">
        <v>928</v>
      </c>
      <c r="I65" s="10">
        <v>9.8900161991644642E-3</v>
      </c>
    </row>
    <row r="66" spans="1:9" x14ac:dyDescent="0.3">
      <c r="B66" t="s">
        <v>95</v>
      </c>
      <c r="D66" s="9">
        <v>160000</v>
      </c>
      <c r="E66" s="5">
        <v>4</v>
      </c>
      <c r="F66" s="11">
        <v>4650</v>
      </c>
      <c r="G66" s="10">
        <v>0.12</v>
      </c>
      <c r="H66" s="9">
        <v>3720</v>
      </c>
      <c r="I66" s="10">
        <v>3.9645323556995481E-2</v>
      </c>
    </row>
    <row r="67" spans="1:9" x14ac:dyDescent="0.3">
      <c r="D67" s="9"/>
      <c r="E67" s="5"/>
      <c r="F67" s="11"/>
      <c r="G67" s="10"/>
      <c r="H67" s="9"/>
      <c r="I67" s="10"/>
    </row>
    <row r="68" spans="1:9" x14ac:dyDescent="0.3">
      <c r="A68" t="s">
        <v>96</v>
      </c>
      <c r="D68" s="9">
        <v>160000</v>
      </c>
      <c r="E68" s="5">
        <v>4</v>
      </c>
      <c r="F68" s="11">
        <v>4650</v>
      </c>
      <c r="G68" s="10">
        <v>0.12</v>
      </c>
      <c r="H68" s="9">
        <v>3720</v>
      </c>
      <c r="I68" s="10">
        <v>3.9645323556995481E-2</v>
      </c>
    </row>
    <row r="69" spans="1:9" x14ac:dyDescent="0.3">
      <c r="D69" s="9"/>
      <c r="E69" s="5"/>
      <c r="F69" s="11"/>
      <c r="G69" s="10"/>
      <c r="H69" s="9"/>
      <c r="I69" s="10"/>
    </row>
    <row r="70" spans="1:9" x14ac:dyDescent="0.3">
      <c r="A70" t="s">
        <v>59</v>
      </c>
      <c r="B70" t="s">
        <v>43</v>
      </c>
      <c r="C70" t="s">
        <v>36</v>
      </c>
      <c r="D70" s="9">
        <v>80000</v>
      </c>
      <c r="E70" s="5">
        <v>1</v>
      </c>
      <c r="F70" s="11">
        <v>4000</v>
      </c>
      <c r="G70" s="10">
        <v>0.05</v>
      </c>
      <c r="H70" s="9">
        <v>3200</v>
      </c>
      <c r="I70" s="10">
        <v>3.4103504135049874E-2</v>
      </c>
    </row>
    <row r="71" spans="1:9" x14ac:dyDescent="0.3">
      <c r="C71" t="s">
        <v>90</v>
      </c>
      <c r="D71" s="9">
        <v>70000</v>
      </c>
      <c r="E71" s="5">
        <v>1</v>
      </c>
      <c r="F71" s="11">
        <v>4200</v>
      </c>
      <c r="G71" s="10">
        <v>0.06</v>
      </c>
      <c r="H71" s="9">
        <v>3360</v>
      </c>
      <c r="I71" s="10">
        <v>3.5808679341802367E-2</v>
      </c>
    </row>
    <row r="72" spans="1:9" x14ac:dyDescent="0.3">
      <c r="C72" t="s">
        <v>14</v>
      </c>
      <c r="D72" s="9">
        <v>20000</v>
      </c>
      <c r="E72" s="5">
        <v>1</v>
      </c>
      <c r="F72" s="11">
        <v>1000</v>
      </c>
      <c r="G72" s="10">
        <v>0.05</v>
      </c>
      <c r="H72" s="9">
        <v>800</v>
      </c>
      <c r="I72" s="10">
        <v>8.5258760337624685E-3</v>
      </c>
    </row>
    <row r="73" spans="1:9" x14ac:dyDescent="0.3">
      <c r="C73" t="s">
        <v>28</v>
      </c>
      <c r="D73" s="9">
        <v>44000</v>
      </c>
      <c r="E73" s="5">
        <v>1</v>
      </c>
      <c r="F73" s="11">
        <v>2640</v>
      </c>
      <c r="G73" s="10">
        <v>0.06</v>
      </c>
      <c r="H73" s="9">
        <v>2112</v>
      </c>
      <c r="I73" s="10">
        <v>2.250831272913292E-2</v>
      </c>
    </row>
    <row r="74" spans="1:9" x14ac:dyDescent="0.3">
      <c r="B74" t="s">
        <v>102</v>
      </c>
      <c r="D74" s="9">
        <v>214000</v>
      </c>
      <c r="E74" s="5">
        <v>4</v>
      </c>
      <c r="F74" s="11">
        <v>11840</v>
      </c>
      <c r="G74" s="10">
        <v>0.22</v>
      </c>
      <c r="H74" s="9">
        <v>9472</v>
      </c>
      <c r="I74" s="10">
        <v>0.10094637223974763</v>
      </c>
    </row>
    <row r="75" spans="1:9" x14ac:dyDescent="0.3">
      <c r="D75" s="9"/>
      <c r="E75" s="5"/>
      <c r="F75" s="11"/>
      <c r="G75" s="10"/>
      <c r="H75" s="9"/>
      <c r="I75" s="10"/>
    </row>
    <row r="76" spans="1:9" x14ac:dyDescent="0.3">
      <c r="A76" t="s">
        <v>103</v>
      </c>
      <c r="D76" s="9">
        <v>214000</v>
      </c>
      <c r="E76" s="5">
        <v>4</v>
      </c>
      <c r="F76" s="11">
        <v>11840</v>
      </c>
      <c r="G76" s="10">
        <v>0.22</v>
      </c>
      <c r="H76" s="9">
        <v>9472</v>
      </c>
      <c r="I76" s="10">
        <v>0.10094637223974763</v>
      </c>
    </row>
    <row r="77" spans="1:9" x14ac:dyDescent="0.3">
      <c r="D77" s="9"/>
      <c r="E77" s="5"/>
      <c r="F77" s="11"/>
      <c r="G77" s="10"/>
      <c r="H77" s="9"/>
      <c r="I77" s="10"/>
    </row>
    <row r="78" spans="1:9" x14ac:dyDescent="0.3">
      <c r="A78" t="s">
        <v>70</v>
      </c>
      <c r="D78" s="9">
        <v>2437000</v>
      </c>
      <c r="E78" s="5">
        <v>50</v>
      </c>
      <c r="F78" s="11">
        <v>117290</v>
      </c>
      <c r="G78" s="10">
        <v>2.19</v>
      </c>
      <c r="H78" s="9">
        <v>93832</v>
      </c>
      <c r="I78" s="10">
        <v>1</v>
      </c>
    </row>
  </sheetData>
  <sortState xmlns:xlrd2="http://schemas.microsoft.com/office/spreadsheetml/2017/richdata2" ref="A5:I27">
    <sortCondition descending="1" ref="E5"/>
  </sortState>
  <dataConsolidate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06385027-9798-4D31-8843-20BA10B0B22F}">
  <ds:schemaRefs/>
</ds:datastoreItem>
</file>

<file path=customXml/itemProps2.xml><?xml version="1.0" encoding="utf-8"?>
<ds:datastoreItem xmlns:ds="http://schemas.openxmlformats.org/officeDocument/2006/customXml" ds:itemID="{E3EFC8F3-EE06-4096-8D83-B42522F11B49}">
  <ds:schemaRefs/>
</ds:datastoreItem>
</file>

<file path=customXml/itemProps3.xml><?xml version="1.0" encoding="utf-8"?>
<ds:datastoreItem xmlns:ds="http://schemas.openxmlformats.org/officeDocument/2006/customXml" ds:itemID="{7ADF0D8E-7E4A-4EDC-92F1-A1FE9A23EF16}">
  <ds:schemaRefs/>
</ds:datastoreItem>
</file>

<file path=customXml/itemProps4.xml><?xml version="1.0" encoding="utf-8"?>
<ds:datastoreItem xmlns:ds="http://schemas.openxmlformats.org/officeDocument/2006/customXml" ds:itemID="{8B7871E3-69D3-4981-A17D-F09736025278}">
  <ds:schemaRefs/>
</ds:datastoreItem>
</file>

<file path=customXml/itemProps5.xml><?xml version="1.0" encoding="utf-8"?>
<ds:datastoreItem xmlns:ds="http://schemas.openxmlformats.org/officeDocument/2006/customXml" ds:itemID="{C53A402B-70D1-4BEB-A76C-0093355F5512}">
  <ds:schemaRefs/>
</ds:datastoreItem>
</file>

<file path=customXml/itemProps6.xml><?xml version="1.0" encoding="utf-8"?>
<ds:datastoreItem xmlns:ds="http://schemas.openxmlformats.org/officeDocument/2006/customXml" ds:itemID="{616546A8-93D6-4CAC-AC33-16B1E96216B3}">
  <ds:schemaRefs/>
</ds:datastoreItem>
</file>

<file path=customXml/itemProps7.xml><?xml version="1.0" encoding="utf-8"?>
<ds:datastoreItem xmlns:ds="http://schemas.openxmlformats.org/officeDocument/2006/customXml" ds:itemID="{D91987AE-569F-4B4E-B424-0B6069372B93}">
  <ds:schemaRefs/>
</ds:datastoreItem>
</file>

<file path=customXml/itemProps8.xml><?xml version="1.0" encoding="utf-8"?>
<ds:datastoreItem xmlns:ds="http://schemas.openxmlformats.org/officeDocument/2006/customXml" ds:itemID="{1A61AD9C-C2B7-405A-8685-F8B1BC9A64D3}">
  <ds:schemaRefs/>
</ds:datastoreItem>
</file>

<file path=customXml/itemProps9.xml><?xml version="1.0" encoding="utf-8"?>
<ds:datastoreItem xmlns:ds="http://schemas.openxmlformats.org/officeDocument/2006/customXml" ds:itemID="{579121A3-9CD4-4CDC-8719-11FDBBC2273C}">
  <ds:schemaRefs/>
</ds:datastoreItem>
</file>

<file path=customXml/itemProps10.xml><?xml version="1.0" encoding="utf-8"?>
<ds:datastoreItem xmlns:ds="http://schemas.openxmlformats.org/officeDocument/2006/customXml" ds:itemID="{2B755F46-D74D-4E14-9C1D-1172E4A195B7}">
  <ds:schemaRefs/>
</ds:datastoreItem>
</file>

<file path=customXml/itemProps11.xml><?xml version="1.0" encoding="utf-8"?>
<ds:datastoreItem xmlns:ds="http://schemas.openxmlformats.org/officeDocument/2006/customXml" ds:itemID="{B59849B5-7689-4D81-8152-151229FD264F}">
  <ds:schemaRefs/>
</ds:datastoreItem>
</file>

<file path=customXml/itemProps12.xml><?xml version="1.0" encoding="utf-8"?>
<ds:datastoreItem xmlns:ds="http://schemas.openxmlformats.org/officeDocument/2006/customXml" ds:itemID="{BCE26BA2-6A6E-4AD0-8A92-A967D94535AF}">
  <ds:schemaRefs/>
</ds:datastoreItem>
</file>

<file path=customXml/itemProps13.xml><?xml version="1.0" encoding="utf-8"?>
<ds:datastoreItem xmlns:ds="http://schemas.openxmlformats.org/officeDocument/2006/customXml" ds:itemID="{9F78B4F7-0013-4003-A0CD-D275D4BE2A39}">
  <ds:schemaRefs/>
</ds:datastoreItem>
</file>

<file path=customXml/itemProps14.xml><?xml version="1.0" encoding="utf-8"?>
<ds:datastoreItem xmlns:ds="http://schemas.openxmlformats.org/officeDocument/2006/customXml" ds:itemID="{DD96258B-296F-458A-9F1E-8811244575F2}">
  <ds:schemaRefs/>
</ds:datastoreItem>
</file>

<file path=customXml/itemProps15.xml><?xml version="1.0" encoding="utf-8"?>
<ds:datastoreItem xmlns:ds="http://schemas.openxmlformats.org/officeDocument/2006/customXml" ds:itemID="{2A4DEA6A-EAF0-41E0-A860-B7294DE9FB9A}">
  <ds:schemaRefs/>
</ds:datastoreItem>
</file>

<file path=customXml/itemProps16.xml><?xml version="1.0" encoding="utf-8"?>
<ds:datastoreItem xmlns:ds="http://schemas.openxmlformats.org/officeDocument/2006/customXml" ds:itemID="{0FC663AB-93FC-427B-B8A5-137FD56FE34B}">
  <ds:schemaRefs/>
</ds:datastoreItem>
</file>

<file path=customXml/itemProps17.xml><?xml version="1.0" encoding="utf-8"?>
<ds:datastoreItem xmlns:ds="http://schemas.openxmlformats.org/officeDocument/2006/customXml" ds:itemID="{B0BB39C8-1979-404F-834D-444EBF8617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Lojas</vt:lpstr>
      <vt:lpstr>Vendas</vt:lpstr>
      <vt:lpstr>Tab_Vendas</vt:lpstr>
      <vt:lpstr>Tab_Lojas+Vendas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Aylton</dc:creator>
  <cp:lastModifiedBy>Fábio Silva</cp:lastModifiedBy>
  <dcterms:created xsi:type="dcterms:W3CDTF">2018-09-04T19:31:43Z</dcterms:created>
  <dcterms:modified xsi:type="dcterms:W3CDTF">2025-09-28T23:21:04Z</dcterms:modified>
</cp:coreProperties>
</file>